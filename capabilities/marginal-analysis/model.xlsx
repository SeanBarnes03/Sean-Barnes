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eanbarnes/Desktop/"/>
    </mc:Choice>
  </mc:AlternateContent>
  <xr:revisionPtr revIDLastSave="0" documentId="13_ncr:1_{06224F4A-7239-614A-AD04-8904C5B5AF89}" xr6:coauthVersionLast="47" xr6:coauthVersionMax="47" xr10:uidLastSave="{00000000-0000-0000-0000-000000000000}"/>
  <bookViews>
    <workbookView xWindow="7940" yWindow="1260" windowWidth="25800" windowHeight="19580" activeTab="3" xr2:uid="{00000000-000D-0000-FFFF-FFFF00000000}"/>
  </bookViews>
  <sheets>
    <sheet name="Inputs" sheetId="1" r:id="rId1"/>
    <sheet name="Optimization" sheetId="2" r:id="rId2"/>
    <sheet name="CostStructure" sheetId="3" r:id="rId3"/>
    <sheet name="MCSchedules" sheetId="4" r:id="rId4"/>
    <sheet name="Checks" sheetId="5" r:id="rId5"/>
  </sheets>
  <definedNames>
    <definedName name="_xlchart.v1.0" hidden="1">MCSchedules!$AA$7:$AA$38</definedName>
    <definedName name="_xlchart.v1.1" hidden="1">MCSchedules!$U$7:$U$38</definedName>
    <definedName name="_xlchart.v1.2" hidden="1">MCSchedules!$Z$7:$Z$38</definedName>
    <definedName name="_xlchart.v1.3" hidden="1">MCSchedules!$AA$7:$AA$38</definedName>
    <definedName name="_xlchart.v1.4" hidden="1">MCSchedules!$U$7:$U$38</definedName>
    <definedName name="_xlchart.v1.5" hidden="1">MCSchedules!$Z$7:$Z$38</definedName>
    <definedName name="BEDS_CARROT">Optimization!$B$6</definedName>
    <definedName name="BEDS_MESCLUN">Optimization!$B$7</definedName>
    <definedName name="BEDS_TOMATO">Optimization!$B$5</definedName>
    <definedName name="BLENDED_RATE">CostStructure!$B$19</definedName>
    <definedName name="CONSTRAINTS_ALL">Optimization!$D$25</definedName>
    <definedName name="DIM_PCT_CAR">Inputs!$C$10</definedName>
    <definedName name="DIM_PCT_MES">Inputs!$D$10</definedName>
    <definedName name="DIM_PCT_TOM">Inputs!$B$10</definedName>
    <definedName name="FARMER_FIELD_HRS">Inputs!$B$18</definedName>
    <definedName name="FARMER_HRS_USED">CostStructure!$B$11</definedName>
    <definedName name="FARMER_LABOR_COST">CostStructure!$B$16</definedName>
    <definedName name="FARMER_RATE">Inputs!$B$20</definedName>
    <definedName name="FARMER_SALARY">Inputs!$B$17</definedName>
    <definedName name="FARMER_SEASON_HRS">Inputs!$B$19</definedName>
    <definedName name="FERTILIZER_COST">CostStructure!$B$30</definedName>
    <definedName name="FERTILIZER_PER_BED_CAR">Inputs!$C$9</definedName>
    <definedName name="FERTILIZER_PER_BED_MES">Inputs!$D$9</definedName>
    <definedName name="FERTILIZER_PER_BED_TOM">Inputs!$B$9</definedName>
    <definedName name="FIXED_COSTS">Inputs!$B$15</definedName>
    <definedName name="HAND_CHECK_Q1">CostStructure!$B$37</definedName>
    <definedName name="HRS_PER_BED_WEEK_CAR">Inputs!$C$8</definedName>
    <definedName name="HRS_PER_BED_WEEK_MES">Inputs!$D$8</definedName>
    <definedName name="HRS_PER_BED_WEEK_TOM">Inputs!$B$8</definedName>
    <definedName name="MAX_BEDS_CAR">Inputs!$C$6</definedName>
    <definedName name="MAX_BEDS_MES">Inputs!$D$6</definedName>
    <definedName name="MAX_BEDS_TOM">Inputs!$B$6</definedName>
    <definedName name="MAX_TEMPS">Inputs!$B$24</definedName>
    <definedName name="PMC_CAR">MCSchedules!$P$29</definedName>
    <definedName name="PMC_MES">MCSchedules!$Z$39</definedName>
    <definedName name="PMC_TOM">MCSchedules!$F$29</definedName>
    <definedName name="PRICE_PER_BED_CAR">Inputs!$C$7</definedName>
    <definedName name="PRICE_PER_BED_MES">Inputs!$D$7</definedName>
    <definedName name="PRICE_PER_BED_TOM">Inputs!$B$7</definedName>
    <definedName name="SEASON_PROFIT">CostStructure!$B$34</definedName>
    <definedName name="SEASON_REVENUE">CostStructure!$B$29</definedName>
    <definedName name="SHADOW_CAR">Optimization!$J$61</definedName>
    <definedName name="SHADOW_MES">Optimization!$J$62</definedName>
    <definedName name="solver_adj" localSheetId="1" hidden="1">Optimization!$B$5:$B$7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itr" localSheetId="1" hidden="1">2147483647</definedName>
    <definedName name="solver_lhs1" localSheetId="1" hidden="1">Optimization!$B$10</definedName>
    <definedName name="solver_lhs2" localSheetId="1" hidden="1">Optimization!$B$11</definedName>
    <definedName name="solver_lhs3" localSheetId="1" hidden="1">Optimization!$B$5:$B$7</definedName>
    <definedName name="solver_lhs4" localSheetId="1" hidden="1">Optimization!$B$5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4</definedName>
    <definedName name="solver_opt" localSheetId="1" hidden="1">Optimization!$B$16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1</definedName>
    <definedName name="solver_rel4" localSheetId="1" hidden="1">4</definedName>
    <definedName name="solver_rhs1" localSheetId="1" hidden="1">Optimization!$C$10</definedName>
    <definedName name="solver_rhs2" localSheetId="1" hidden="1">Optimization!$C$11</definedName>
    <definedName name="solver_rhs3" localSheetId="1" hidden="1">Optimization!$C$5:$C$7</definedName>
    <definedName name="solver_rhs4" localSheetId="1" hidden="1">"integer"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2</definedName>
    <definedName name="TEMP_COST_EACH">Inputs!$B$21</definedName>
    <definedName name="TEMP_HRS_EACH">Inputs!$B$22</definedName>
    <definedName name="TEMP_HRS_USED">CostStructure!$B$12</definedName>
    <definedName name="TEMP_LABOR_COST">CostStructure!$B$17</definedName>
    <definedName name="TEMP_RATE">Inputs!$B$23</definedName>
    <definedName name="TEMPS_REQUIRED">CostStructure!$B$13</definedName>
    <definedName name="TOTAL_BED_CAP">Inputs!$B$16</definedName>
    <definedName name="TOTAL_COST_SEASON">CostStructure!$B$32</definedName>
    <definedName name="TOTAL_LABOR_COST">CostStructure!$B$18</definedName>
    <definedName name="TOTAL_LABOR_HRS">CostStructure!$B$8</definedName>
    <definedName name="WEEKS">Inputs!$B$14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5" l="1"/>
  <c r="B21" i="5"/>
  <c r="B20" i="5"/>
  <c r="B19" i="5"/>
  <c r="D18" i="5"/>
  <c r="C18" i="5"/>
  <c r="B18" i="5"/>
  <c r="D17" i="5"/>
  <c r="C17" i="5"/>
  <c r="B17" i="5"/>
  <c r="B16" i="5"/>
  <c r="B15" i="5"/>
  <c r="D13" i="5"/>
  <c r="C13" i="5"/>
  <c r="B13" i="5"/>
  <c r="D12" i="5"/>
  <c r="C12" i="5"/>
  <c r="B12" i="5"/>
  <c r="D11" i="5"/>
  <c r="C11" i="5"/>
  <c r="B11" i="5"/>
  <c r="D10" i="5"/>
  <c r="C10" i="5"/>
  <c r="B10" i="5"/>
  <c r="B9" i="5"/>
  <c r="C8" i="5"/>
  <c r="D8" i="5" s="1"/>
  <c r="B8" i="5"/>
  <c r="C7" i="5"/>
  <c r="D7" i="5" s="1"/>
  <c r="B7" i="5"/>
  <c r="C6" i="5"/>
  <c r="D6" i="5" s="1"/>
  <c r="B6" i="5"/>
  <c r="C5" i="5"/>
  <c r="D5" i="5" s="1"/>
  <c r="B5" i="5"/>
  <c r="Z39" i="4"/>
  <c r="AC38" i="4"/>
  <c r="AB38" i="4"/>
  <c r="AA38" i="4"/>
  <c r="Z38" i="4"/>
  <c r="Y38" i="4"/>
  <c r="X38" i="4"/>
  <c r="W38" i="4"/>
  <c r="V38" i="4"/>
  <c r="AC37" i="4"/>
  <c r="AB37" i="4"/>
  <c r="AA37" i="4"/>
  <c r="Z37" i="4"/>
  <c r="Y37" i="4"/>
  <c r="X37" i="4"/>
  <c r="W37" i="4"/>
  <c r="V37" i="4"/>
  <c r="AC36" i="4"/>
  <c r="AB36" i="4"/>
  <c r="AA36" i="4"/>
  <c r="Z36" i="4"/>
  <c r="Y36" i="4"/>
  <c r="X36" i="4"/>
  <c r="W36" i="4"/>
  <c r="V36" i="4"/>
  <c r="AC35" i="4"/>
  <c r="AB35" i="4"/>
  <c r="AA35" i="4"/>
  <c r="Z35" i="4"/>
  <c r="Y35" i="4"/>
  <c r="X35" i="4"/>
  <c r="W35" i="4"/>
  <c r="V35" i="4"/>
  <c r="AC34" i="4"/>
  <c r="AB34" i="4"/>
  <c r="AA34" i="4"/>
  <c r="Z34" i="4"/>
  <c r="Y34" i="4"/>
  <c r="X34" i="4"/>
  <c r="W34" i="4"/>
  <c r="V34" i="4"/>
  <c r="AC33" i="4"/>
  <c r="AB33" i="4"/>
  <c r="AA33" i="4"/>
  <c r="Z33" i="4"/>
  <c r="Y33" i="4"/>
  <c r="X33" i="4"/>
  <c r="W33" i="4"/>
  <c r="V33" i="4"/>
  <c r="AC32" i="4"/>
  <c r="AB32" i="4"/>
  <c r="AA32" i="4"/>
  <c r="Z32" i="4"/>
  <c r="Y32" i="4"/>
  <c r="X32" i="4"/>
  <c r="W32" i="4"/>
  <c r="V32" i="4"/>
  <c r="AC31" i="4"/>
  <c r="AB31" i="4"/>
  <c r="AA31" i="4"/>
  <c r="Z31" i="4"/>
  <c r="Y31" i="4"/>
  <c r="X31" i="4"/>
  <c r="W31" i="4"/>
  <c r="V31" i="4"/>
  <c r="AC30" i="4"/>
  <c r="AB30" i="4"/>
  <c r="AA30" i="4"/>
  <c r="Z30" i="4"/>
  <c r="Y30" i="4"/>
  <c r="X30" i="4"/>
  <c r="W30" i="4"/>
  <c r="V30" i="4"/>
  <c r="AC29" i="4"/>
  <c r="AB29" i="4"/>
  <c r="AA29" i="4"/>
  <c r="Z29" i="4"/>
  <c r="Y29" i="4"/>
  <c r="X29" i="4"/>
  <c r="W29" i="4"/>
  <c r="V29" i="4"/>
  <c r="P29" i="4"/>
  <c r="F29" i="4"/>
  <c r="AC28" i="4"/>
  <c r="AB28" i="4"/>
  <c r="AA28" i="4"/>
  <c r="Z28" i="4"/>
  <c r="Y28" i="4"/>
  <c r="X28" i="4"/>
  <c r="W28" i="4"/>
  <c r="V28" i="4"/>
  <c r="S28" i="4"/>
  <c r="R28" i="4"/>
  <c r="Q28" i="4"/>
  <c r="P28" i="4"/>
  <c r="O28" i="4"/>
  <c r="N28" i="4"/>
  <c r="M28" i="4"/>
  <c r="L28" i="4"/>
  <c r="I28" i="4"/>
  <c r="H28" i="4"/>
  <c r="G28" i="4"/>
  <c r="F28" i="4"/>
  <c r="E28" i="4"/>
  <c r="D28" i="4"/>
  <c r="C28" i="4"/>
  <c r="B28" i="4"/>
  <c r="AC27" i="4"/>
  <c r="AB27" i="4"/>
  <c r="AA27" i="4"/>
  <c r="Z27" i="4"/>
  <c r="Y27" i="4"/>
  <c r="X27" i="4"/>
  <c r="W27" i="4"/>
  <c r="V27" i="4"/>
  <c r="S27" i="4"/>
  <c r="R27" i="4"/>
  <c r="Q27" i="4"/>
  <c r="P27" i="4"/>
  <c r="O27" i="4"/>
  <c r="N27" i="4"/>
  <c r="M27" i="4"/>
  <c r="L27" i="4"/>
  <c r="I27" i="4"/>
  <c r="H27" i="4"/>
  <c r="G27" i="4"/>
  <c r="F27" i="4"/>
  <c r="E27" i="4"/>
  <c r="D27" i="4"/>
  <c r="C27" i="4"/>
  <c r="B27" i="4"/>
  <c r="AC26" i="4"/>
  <c r="AB26" i="4"/>
  <c r="AA26" i="4"/>
  <c r="Z26" i="4"/>
  <c r="Y26" i="4"/>
  <c r="X26" i="4"/>
  <c r="W26" i="4"/>
  <c r="V26" i="4"/>
  <c r="S26" i="4"/>
  <c r="R26" i="4"/>
  <c r="Q26" i="4"/>
  <c r="P26" i="4"/>
  <c r="O26" i="4"/>
  <c r="N26" i="4"/>
  <c r="M26" i="4"/>
  <c r="L26" i="4"/>
  <c r="I26" i="4"/>
  <c r="H26" i="4"/>
  <c r="G26" i="4"/>
  <c r="F26" i="4"/>
  <c r="E26" i="4"/>
  <c r="D26" i="4"/>
  <c r="C26" i="4"/>
  <c r="B26" i="4"/>
  <c r="AC25" i="4"/>
  <c r="AB25" i="4"/>
  <c r="AA25" i="4"/>
  <c r="Z25" i="4"/>
  <c r="Y25" i="4"/>
  <c r="X25" i="4"/>
  <c r="W25" i="4"/>
  <c r="V25" i="4"/>
  <c r="S25" i="4"/>
  <c r="R25" i="4"/>
  <c r="Q25" i="4"/>
  <c r="P25" i="4"/>
  <c r="O25" i="4"/>
  <c r="N25" i="4"/>
  <c r="M25" i="4"/>
  <c r="L25" i="4"/>
  <c r="I25" i="4"/>
  <c r="H25" i="4"/>
  <c r="G25" i="4"/>
  <c r="F25" i="4"/>
  <c r="E25" i="4"/>
  <c r="D25" i="4"/>
  <c r="C25" i="4"/>
  <c r="B25" i="4"/>
  <c r="AC24" i="4"/>
  <c r="AB24" i="4"/>
  <c r="AA24" i="4"/>
  <c r="Z24" i="4"/>
  <c r="Y24" i="4"/>
  <c r="X24" i="4"/>
  <c r="W24" i="4"/>
  <c r="V24" i="4"/>
  <c r="S24" i="4"/>
  <c r="R24" i="4"/>
  <c r="Q24" i="4"/>
  <c r="P24" i="4"/>
  <c r="O24" i="4"/>
  <c r="N24" i="4"/>
  <c r="M24" i="4"/>
  <c r="L24" i="4"/>
  <c r="I24" i="4"/>
  <c r="H24" i="4"/>
  <c r="G24" i="4"/>
  <c r="F24" i="4"/>
  <c r="E24" i="4"/>
  <c r="D24" i="4"/>
  <c r="C24" i="4"/>
  <c r="B24" i="4"/>
  <c r="AC23" i="4"/>
  <c r="AB23" i="4"/>
  <c r="AA23" i="4"/>
  <c r="Z23" i="4"/>
  <c r="Y23" i="4"/>
  <c r="X23" i="4"/>
  <c r="W23" i="4"/>
  <c r="V23" i="4"/>
  <c r="S23" i="4"/>
  <c r="R23" i="4"/>
  <c r="Q23" i="4"/>
  <c r="P23" i="4"/>
  <c r="O23" i="4"/>
  <c r="N23" i="4"/>
  <c r="M23" i="4"/>
  <c r="L23" i="4"/>
  <c r="I23" i="4"/>
  <c r="H23" i="4"/>
  <c r="G23" i="4"/>
  <c r="F23" i="4"/>
  <c r="E23" i="4"/>
  <c r="D23" i="4"/>
  <c r="C23" i="4"/>
  <c r="B23" i="4"/>
  <c r="AC22" i="4"/>
  <c r="AB22" i="4"/>
  <c r="AA22" i="4"/>
  <c r="Z22" i="4"/>
  <c r="Y22" i="4"/>
  <c r="X22" i="4"/>
  <c r="W22" i="4"/>
  <c r="V22" i="4"/>
  <c r="S22" i="4"/>
  <c r="R22" i="4"/>
  <c r="Q22" i="4"/>
  <c r="P22" i="4"/>
  <c r="O22" i="4"/>
  <c r="N22" i="4"/>
  <c r="M22" i="4"/>
  <c r="L22" i="4"/>
  <c r="I22" i="4"/>
  <c r="H22" i="4"/>
  <c r="G22" i="4"/>
  <c r="F22" i="4"/>
  <c r="E22" i="4"/>
  <c r="D22" i="4"/>
  <c r="C22" i="4"/>
  <c r="B22" i="4"/>
  <c r="AC21" i="4"/>
  <c r="AB21" i="4"/>
  <c r="AA21" i="4"/>
  <c r="Z21" i="4"/>
  <c r="Y21" i="4"/>
  <c r="X21" i="4"/>
  <c r="W21" i="4"/>
  <c r="V21" i="4"/>
  <c r="S21" i="4"/>
  <c r="R21" i="4"/>
  <c r="Q21" i="4"/>
  <c r="P21" i="4"/>
  <c r="O21" i="4"/>
  <c r="N21" i="4"/>
  <c r="M21" i="4"/>
  <c r="L21" i="4"/>
  <c r="I21" i="4"/>
  <c r="H21" i="4"/>
  <c r="G21" i="4"/>
  <c r="F21" i="4"/>
  <c r="E21" i="4"/>
  <c r="D21" i="4"/>
  <c r="C21" i="4"/>
  <c r="B21" i="4"/>
  <c r="AC20" i="4"/>
  <c r="AB20" i="4"/>
  <c r="AA20" i="4"/>
  <c r="Z20" i="4"/>
  <c r="Y20" i="4"/>
  <c r="X20" i="4"/>
  <c r="W20" i="4"/>
  <c r="V20" i="4"/>
  <c r="S20" i="4"/>
  <c r="R20" i="4"/>
  <c r="Q20" i="4"/>
  <c r="P20" i="4"/>
  <c r="O20" i="4"/>
  <c r="N20" i="4"/>
  <c r="M20" i="4"/>
  <c r="L20" i="4"/>
  <c r="I20" i="4"/>
  <c r="H20" i="4"/>
  <c r="G20" i="4"/>
  <c r="F20" i="4"/>
  <c r="E20" i="4"/>
  <c r="D20" i="4"/>
  <c r="C20" i="4"/>
  <c r="B20" i="4"/>
  <c r="AC19" i="4"/>
  <c r="AB19" i="4"/>
  <c r="AA19" i="4"/>
  <c r="Z19" i="4"/>
  <c r="Y19" i="4"/>
  <c r="X19" i="4"/>
  <c r="W19" i="4"/>
  <c r="V19" i="4"/>
  <c r="S19" i="4"/>
  <c r="R19" i="4"/>
  <c r="Q19" i="4"/>
  <c r="P19" i="4"/>
  <c r="O19" i="4"/>
  <c r="N19" i="4"/>
  <c r="M19" i="4"/>
  <c r="L19" i="4"/>
  <c r="I19" i="4"/>
  <c r="H19" i="4"/>
  <c r="G19" i="4"/>
  <c r="F19" i="4"/>
  <c r="E19" i="4"/>
  <c r="D19" i="4"/>
  <c r="C19" i="4"/>
  <c r="B19" i="4"/>
  <c r="AC18" i="4"/>
  <c r="AB18" i="4"/>
  <c r="AA18" i="4"/>
  <c r="Z18" i="4"/>
  <c r="Y18" i="4"/>
  <c r="X18" i="4"/>
  <c r="W18" i="4"/>
  <c r="V18" i="4"/>
  <c r="S18" i="4"/>
  <c r="R18" i="4"/>
  <c r="Q18" i="4"/>
  <c r="P18" i="4"/>
  <c r="O18" i="4"/>
  <c r="N18" i="4"/>
  <c r="M18" i="4"/>
  <c r="L18" i="4"/>
  <c r="I18" i="4"/>
  <c r="H18" i="4"/>
  <c r="G18" i="4"/>
  <c r="F18" i="4"/>
  <c r="E18" i="4"/>
  <c r="D18" i="4"/>
  <c r="C18" i="4"/>
  <c r="B18" i="4"/>
  <c r="AC17" i="4"/>
  <c r="AB17" i="4"/>
  <c r="AA17" i="4"/>
  <c r="Z17" i="4"/>
  <c r="Y17" i="4"/>
  <c r="X17" i="4"/>
  <c r="W17" i="4"/>
  <c r="V17" i="4"/>
  <c r="S17" i="4"/>
  <c r="R17" i="4"/>
  <c r="Q17" i="4"/>
  <c r="P17" i="4"/>
  <c r="O17" i="4"/>
  <c r="N17" i="4"/>
  <c r="M17" i="4"/>
  <c r="L17" i="4"/>
  <c r="I17" i="4"/>
  <c r="H17" i="4"/>
  <c r="G17" i="4"/>
  <c r="F17" i="4"/>
  <c r="E17" i="4"/>
  <c r="D17" i="4"/>
  <c r="C17" i="4"/>
  <c r="B17" i="4"/>
  <c r="AC16" i="4"/>
  <c r="AB16" i="4"/>
  <c r="AA16" i="4"/>
  <c r="Z16" i="4"/>
  <c r="Y16" i="4"/>
  <c r="X16" i="4"/>
  <c r="W16" i="4"/>
  <c r="V16" i="4"/>
  <c r="S16" i="4"/>
  <c r="R16" i="4"/>
  <c r="Q16" i="4"/>
  <c r="P16" i="4"/>
  <c r="O16" i="4"/>
  <c r="N16" i="4"/>
  <c r="M16" i="4"/>
  <c r="L16" i="4"/>
  <c r="I16" i="4"/>
  <c r="H16" i="4"/>
  <c r="G16" i="4"/>
  <c r="F16" i="4"/>
  <c r="E16" i="4"/>
  <c r="D16" i="4"/>
  <c r="C16" i="4"/>
  <c r="B16" i="4"/>
  <c r="AC15" i="4"/>
  <c r="AB15" i="4"/>
  <c r="AA15" i="4"/>
  <c r="Z15" i="4"/>
  <c r="Y15" i="4"/>
  <c r="X15" i="4"/>
  <c r="W15" i="4"/>
  <c r="V15" i="4"/>
  <c r="S15" i="4"/>
  <c r="R15" i="4"/>
  <c r="Q15" i="4"/>
  <c r="P15" i="4"/>
  <c r="O15" i="4"/>
  <c r="N15" i="4"/>
  <c r="M15" i="4"/>
  <c r="L15" i="4"/>
  <c r="I15" i="4"/>
  <c r="H15" i="4"/>
  <c r="G15" i="4"/>
  <c r="F15" i="4"/>
  <c r="E15" i="4"/>
  <c r="D15" i="4"/>
  <c r="C15" i="4"/>
  <c r="B15" i="4"/>
  <c r="AC14" i="4"/>
  <c r="AB14" i="4"/>
  <c r="AA14" i="4"/>
  <c r="Z14" i="4"/>
  <c r="Y14" i="4"/>
  <c r="X14" i="4"/>
  <c r="W14" i="4"/>
  <c r="V14" i="4"/>
  <c r="S14" i="4"/>
  <c r="R14" i="4"/>
  <c r="Q14" i="4"/>
  <c r="P14" i="4"/>
  <c r="O14" i="4"/>
  <c r="N14" i="4"/>
  <c r="M14" i="4"/>
  <c r="L14" i="4"/>
  <c r="I14" i="4"/>
  <c r="H14" i="4"/>
  <c r="G14" i="4"/>
  <c r="F14" i="4"/>
  <c r="E14" i="4"/>
  <c r="D14" i="4"/>
  <c r="C14" i="4"/>
  <c r="B14" i="4"/>
  <c r="AC13" i="4"/>
  <c r="AB13" i="4"/>
  <c r="AA13" i="4"/>
  <c r="Z13" i="4"/>
  <c r="Y13" i="4"/>
  <c r="X13" i="4"/>
  <c r="W13" i="4"/>
  <c r="V13" i="4"/>
  <c r="S13" i="4"/>
  <c r="R13" i="4"/>
  <c r="Q13" i="4"/>
  <c r="P13" i="4"/>
  <c r="O13" i="4"/>
  <c r="N13" i="4"/>
  <c r="M13" i="4"/>
  <c r="L13" i="4"/>
  <c r="I13" i="4"/>
  <c r="H13" i="4"/>
  <c r="G13" i="4"/>
  <c r="F13" i="4"/>
  <c r="E13" i="4"/>
  <c r="D13" i="4"/>
  <c r="C13" i="4"/>
  <c r="B13" i="4"/>
  <c r="AC12" i="4"/>
  <c r="AB12" i="4"/>
  <c r="AA12" i="4"/>
  <c r="Z12" i="4"/>
  <c r="Y12" i="4"/>
  <c r="X12" i="4"/>
  <c r="W12" i="4"/>
  <c r="V12" i="4"/>
  <c r="S12" i="4"/>
  <c r="R12" i="4"/>
  <c r="Q12" i="4"/>
  <c r="P12" i="4"/>
  <c r="O12" i="4"/>
  <c r="N12" i="4"/>
  <c r="M12" i="4"/>
  <c r="L12" i="4"/>
  <c r="I12" i="4"/>
  <c r="H12" i="4"/>
  <c r="G12" i="4"/>
  <c r="F12" i="4"/>
  <c r="E12" i="4"/>
  <c r="D12" i="4"/>
  <c r="C12" i="4"/>
  <c r="B12" i="4"/>
  <c r="AC11" i="4"/>
  <c r="AB11" i="4"/>
  <c r="AA11" i="4"/>
  <c r="Z11" i="4"/>
  <c r="Y11" i="4"/>
  <c r="X11" i="4"/>
  <c r="W11" i="4"/>
  <c r="V11" i="4"/>
  <c r="S11" i="4"/>
  <c r="R11" i="4"/>
  <c r="Q11" i="4"/>
  <c r="P11" i="4"/>
  <c r="O11" i="4"/>
  <c r="N11" i="4"/>
  <c r="M11" i="4"/>
  <c r="L11" i="4"/>
  <c r="I11" i="4"/>
  <c r="H11" i="4"/>
  <c r="G11" i="4"/>
  <c r="F11" i="4"/>
  <c r="E11" i="4"/>
  <c r="D11" i="4"/>
  <c r="C11" i="4"/>
  <c r="B11" i="4"/>
  <c r="AC10" i="4"/>
  <c r="AB10" i="4"/>
  <c r="AA10" i="4"/>
  <c r="Z10" i="4"/>
  <c r="Y10" i="4"/>
  <c r="X10" i="4"/>
  <c r="W10" i="4"/>
  <c r="V10" i="4"/>
  <c r="S10" i="4"/>
  <c r="R10" i="4"/>
  <c r="Q10" i="4"/>
  <c r="P10" i="4"/>
  <c r="O10" i="4"/>
  <c r="N10" i="4"/>
  <c r="M10" i="4"/>
  <c r="L10" i="4"/>
  <c r="I10" i="4"/>
  <c r="H10" i="4"/>
  <c r="G10" i="4"/>
  <c r="F10" i="4"/>
  <c r="E10" i="4"/>
  <c r="D10" i="4"/>
  <c r="C10" i="4"/>
  <c r="B10" i="4"/>
  <c r="AC9" i="4"/>
  <c r="AB9" i="4"/>
  <c r="AA9" i="4"/>
  <c r="Z9" i="4"/>
  <c r="Y9" i="4"/>
  <c r="X9" i="4"/>
  <c r="W9" i="4"/>
  <c r="V9" i="4"/>
  <c r="S9" i="4"/>
  <c r="R9" i="4"/>
  <c r="Q9" i="4"/>
  <c r="P9" i="4"/>
  <c r="O9" i="4"/>
  <c r="N9" i="4"/>
  <c r="M9" i="4"/>
  <c r="L9" i="4"/>
  <c r="I9" i="4"/>
  <c r="H9" i="4"/>
  <c r="G9" i="4"/>
  <c r="F9" i="4"/>
  <c r="E9" i="4"/>
  <c r="D9" i="4"/>
  <c r="C9" i="4"/>
  <c r="B9" i="4"/>
  <c r="AC8" i="4"/>
  <c r="AB8" i="4"/>
  <c r="AA8" i="4"/>
  <c r="Z8" i="4"/>
  <c r="Y8" i="4"/>
  <c r="X8" i="4"/>
  <c r="W8" i="4"/>
  <c r="V8" i="4"/>
  <c r="S8" i="4"/>
  <c r="R8" i="4"/>
  <c r="Q8" i="4"/>
  <c r="P8" i="4"/>
  <c r="O8" i="4"/>
  <c r="N8" i="4"/>
  <c r="M8" i="4"/>
  <c r="L8" i="4"/>
  <c r="I8" i="4"/>
  <c r="H8" i="4"/>
  <c r="G8" i="4"/>
  <c r="F8" i="4"/>
  <c r="E8" i="4"/>
  <c r="D8" i="4"/>
  <c r="C8" i="4"/>
  <c r="B8" i="4"/>
  <c r="AA7" i="4"/>
  <c r="Y7" i="4"/>
  <c r="X7" i="4"/>
  <c r="W7" i="4"/>
  <c r="V7" i="4"/>
  <c r="Q7" i="4"/>
  <c r="O7" i="4"/>
  <c r="N7" i="4"/>
  <c r="M7" i="4"/>
  <c r="L7" i="4"/>
  <c r="G7" i="4"/>
  <c r="E7" i="4"/>
  <c r="D7" i="4"/>
  <c r="C7" i="4"/>
  <c r="B7" i="4"/>
  <c r="B37" i="3"/>
  <c r="B31" i="3"/>
  <c r="B30" i="3"/>
  <c r="B29" i="3"/>
  <c r="B7" i="3"/>
  <c r="B6" i="3"/>
  <c r="B5" i="3"/>
  <c r="B23" i="1"/>
  <c r="B20" i="1"/>
  <c r="B19" i="1"/>
  <c r="D62" i="2"/>
  <c r="C62" i="2"/>
  <c r="B62" i="2"/>
  <c r="D61" i="2"/>
  <c r="C61" i="2"/>
  <c r="B61" i="2"/>
  <c r="C24" i="2"/>
  <c r="C23" i="2"/>
  <c r="C22" i="2"/>
  <c r="B22" i="2"/>
  <c r="D22" i="2" s="1"/>
  <c r="C21" i="2"/>
  <c r="B21" i="2"/>
  <c r="D21" i="2" s="1"/>
  <c r="C20" i="2"/>
  <c r="B20" i="2"/>
  <c r="D20" i="2" s="1"/>
  <c r="C13" i="2"/>
  <c r="C11" i="2"/>
  <c r="C10" i="2"/>
  <c r="B10" i="2"/>
  <c r="B23" i="2" s="1"/>
  <c r="D23" i="2" s="1"/>
  <c r="C7" i="2"/>
  <c r="C6" i="2"/>
  <c r="C5" i="2"/>
  <c r="B8" i="3" l="1"/>
  <c r="H62" i="2"/>
  <c r="K62" i="2"/>
  <c r="G62" i="2"/>
  <c r="E62" i="2"/>
  <c r="H61" i="2"/>
  <c r="K61" i="2"/>
  <c r="G61" i="2"/>
  <c r="E61" i="2"/>
  <c r="B12" i="3" l="1"/>
  <c r="B11" i="3"/>
  <c r="B16" i="3" s="1"/>
  <c r="L62" i="2"/>
  <c r="M62" i="2" s="1"/>
  <c r="F62" i="2"/>
  <c r="I62" i="2" s="1"/>
  <c r="L61" i="2"/>
  <c r="M61" i="2" s="1"/>
  <c r="F61" i="2"/>
  <c r="I61" i="2" s="1"/>
  <c r="B13" i="3" l="1"/>
  <c r="B17" i="3"/>
  <c r="B18" i="3" s="1"/>
  <c r="B11" i="2"/>
  <c r="B13" i="2" l="1"/>
  <c r="B24" i="2" s="1"/>
  <c r="D24" i="2" s="1"/>
  <c r="D25" i="2" s="1"/>
  <c r="C16" i="5" s="1"/>
  <c r="D16" i="5" s="1"/>
  <c r="C15" i="5"/>
  <c r="D15" i="5" s="1"/>
  <c r="B19" i="3"/>
  <c r="B34" i="3"/>
  <c r="B32" i="3"/>
  <c r="B14" i="5"/>
  <c r="B25" i="3" l="1"/>
  <c r="B24" i="3"/>
  <c r="B23" i="3"/>
  <c r="C9" i="5"/>
  <c r="D9" i="5" s="1"/>
  <c r="E32" i="5"/>
  <c r="E33" i="5"/>
  <c r="B16" i="2"/>
  <c r="J62" i="2"/>
  <c r="J61" i="2"/>
  <c r="B26" i="3" l="1"/>
  <c r="C14" i="5" s="1"/>
  <c r="D14" i="5" s="1"/>
  <c r="C20" i="5"/>
  <c r="D20" i="5" s="1"/>
  <c r="C22" i="5"/>
  <c r="D22" i="5" s="1"/>
  <c r="C19" i="5"/>
  <c r="D19" i="5" s="1"/>
  <c r="C21" i="5"/>
  <c r="D21" i="5" s="1"/>
</calcChain>
</file>

<file path=xl/sharedStrings.xml><?xml version="1.0" encoding="utf-8"?>
<sst xmlns="http://schemas.openxmlformats.org/spreadsheetml/2006/main" count="296" uniqueCount="231">
  <si>
    <t>Optimization</t>
  </si>
  <si>
    <t>Enter the Solver settings below by hand — Data &gt; Solver. Five constraints, about two minutes.</t>
  </si>
  <si>
    <t>Decision variables — Solver changing cells</t>
  </si>
  <si>
    <t>Beds (change these)</t>
  </si>
  <si>
    <t>Cap</t>
  </si>
  <si>
    <t>Tomato beds</t>
  </si>
  <si>
    <t>Integer, at least 0, at most the cap</t>
  </si>
  <si>
    <t>Carrot beds</t>
  </si>
  <si>
    <t>Mesclun beds</t>
  </si>
  <si>
    <t>Constraint quantities — Solver constrains these</t>
  </si>
  <si>
    <t>Total beds planted</t>
  </si>
  <si>
    <t>At most 64</t>
  </si>
  <si>
    <t>Temporary hours needed</t>
  </si>
  <si>
    <t>At most 4 workers x 1,440 hours = 5,760. Equivalent to "at most 4 workers", but smooth.</t>
  </si>
  <si>
    <t>ROUNDUP is deliberately kept OUT of the Solver constraint: GRG Nonlinear assumes smooth</t>
  </si>
  <si>
    <t>Temporary workers required (reported)</t>
  </si>
  <si>
    <t>functions, and a step function here makes it stall. The headcount is still reported below.</t>
  </si>
  <si>
    <t>Objective — Solver maximizes this cell</t>
  </si>
  <si>
    <t>Season profit</t>
  </si>
  <si>
    <t>Constraint checks</t>
  </si>
  <si>
    <t>Constraint</t>
  </si>
  <si>
    <t>Value</t>
  </si>
  <si>
    <t>Limit</t>
  </si>
  <si>
    <t>Status</t>
  </si>
  <si>
    <t>Tomato beds at most cap</t>
  </si>
  <si>
    <t>Carrot beds at most cap</t>
  </si>
  <si>
    <t>Mesclun beds at most cap</t>
  </si>
  <si>
    <t>Total beds at most 64</t>
  </si>
  <si>
    <t>Temp workers at most 4</t>
  </si>
  <si>
    <t>All constraints</t>
  </si>
  <si>
    <t>How to run the audit</t>
  </si>
  <si>
    <t>1. Set B5:B7 to 0, 0, 0.  Data &gt; Solver &gt; Solve.  Record the answer on the Checks sheet.</t>
  </si>
  <si>
    <t>2. Set B5:B7 to 20, 0, 0.  Data &gt; Solver &gt; Solve again.  Record that answer too.</t>
  </si>
  <si>
    <t>3. If the two runs disagree, that is a finding — GRG Nonlinear stops at the first summit it reaches.</t>
  </si>
  <si>
    <t>4. Read the Checks sheet: twelve rules, each PASS or FAIL.</t>
  </si>
  <si>
    <t>If Solver is missing from the Data ribbon: File &gt; Options &gt; Add-ins &gt; Manage: Excel Add-ins &gt; Go &gt;</t>
  </si>
  <si>
    <t>tick Solver Add-in.  On Mac: Tools &gt; Excel Add-ins &gt; tick Solver.</t>
  </si>
  <si>
    <t>Solver settings — type these into Data &gt; Solver</t>
  </si>
  <si>
    <t>Set Objective</t>
  </si>
  <si>
    <t>$B$16</t>
  </si>
  <si>
    <t>To</t>
  </si>
  <si>
    <t>Max</t>
  </si>
  <si>
    <t>By Changing Variable Cells</t>
  </si>
  <si>
    <t>$B$5:$B$7</t>
  </si>
  <si>
    <t>Subject to the Constraints — click Add for each</t>
  </si>
  <si>
    <t>Cell Reference</t>
  </si>
  <si>
    <t>Relation</t>
  </si>
  <si>
    <t>int</t>
  </si>
  <si>
    <t>integer</t>
  </si>
  <si>
    <t>&lt;=</t>
  </si>
  <si>
    <t>$C$5:$C$7</t>
  </si>
  <si>
    <t>$B$10</t>
  </si>
  <si>
    <t>$C$10</t>
  </si>
  <si>
    <t>$B$11</t>
  </si>
  <si>
    <t>$C$11</t>
  </si>
  <si>
    <t>Select a Solving Method: GRG Nonlinear.</t>
  </si>
  <si>
    <t>Tick "Make Unconstrained Variables Non-Negative".</t>
  </si>
  <si>
    <t>For the "int" constraint: pick $B$5:$B$7, then choose "int" from the relation dropdown.</t>
  </si>
  <si>
    <t>The Constraint box fills in "integer" by itself — do not type it.</t>
  </si>
  <si>
    <t>If Solver is not on the Data ribbon: File &gt; Options &gt; Add-ins &gt; Manage: Excel Add-ins &gt;</t>
  </si>
  <si>
    <t>Go &gt; tick Solver Add-in.  Mac: Tools &gt; Excel Add-ins &gt; tick Solver.</t>
  </si>
  <si>
    <t>Marginal Analysis Model — Inputs</t>
  </si>
  <si>
    <t>Every value below is a named range. Blue = hardcoded input from the case. Black = derived.</t>
  </si>
  <si>
    <t>Per-crop inputs</t>
  </si>
  <si>
    <t>Name</t>
  </si>
  <si>
    <t>Tomatoes</t>
  </si>
  <si>
    <t>Carrots</t>
  </si>
  <si>
    <t>Mesclun</t>
  </si>
  <si>
    <t>Unit</t>
  </si>
  <si>
    <t>Source</t>
  </si>
  <si>
    <t>MAX_BEDS</t>
  </si>
  <si>
    <t>beds</t>
  </si>
  <si>
    <t>Case scenario table</t>
  </si>
  <si>
    <t>PRICE_PER_BED</t>
  </si>
  <si>
    <t>$ per bed per season</t>
  </si>
  <si>
    <t>Case scenario table — "Price $/bed"</t>
  </si>
  <si>
    <t>HRS_PER_BED_WEEK</t>
  </si>
  <si>
    <t>hours per bed per week</t>
  </si>
  <si>
    <t>Case scenario; carrots shown as 0.833, stored as 5/6</t>
  </si>
  <si>
    <t>FERTILIZER_PER_BED</t>
  </si>
  <si>
    <t>$ per bed</t>
  </si>
  <si>
    <t>DIM_PCT</t>
  </si>
  <si>
    <t>fraction per added bed</t>
  </si>
  <si>
    <t>Case scenario — "Diminishing returns"</t>
  </si>
  <si>
    <t>Farm-level inputs</t>
  </si>
  <si>
    <t>WEEKS</t>
  </si>
  <si>
    <t>weeks per season</t>
  </si>
  <si>
    <t>Case scenario</t>
  </si>
  <si>
    <t>FIXED_COSTS</t>
  </si>
  <si>
    <t>$ per season</t>
  </si>
  <si>
    <t>TOTAL_BED_CAP</t>
  </si>
  <si>
    <t>beds (16 beds x 4 plots)</t>
  </si>
  <si>
    <t>FARMER_SALARY</t>
  </si>
  <si>
    <t>FARMER_FIELD_HRS</t>
  </si>
  <si>
    <t>hours per season</t>
  </si>
  <si>
    <t>Case scenario — half her time in the field</t>
  </si>
  <si>
    <t>FARMER_SEASON_HRS</t>
  </si>
  <si>
    <t>Derived: 2 x FARMER_FIELD_HRS</t>
  </si>
  <si>
    <t>FARMER_RATE</t>
  </si>
  <si>
    <t>$ per hour</t>
  </si>
  <si>
    <t>Derived: FARMER_SALARY / FARMER_SEASON_HRS (the case's implied $34.72)</t>
  </si>
  <si>
    <t>TEMP_COST_EACH</t>
  </si>
  <si>
    <t>$ per worker per season</t>
  </si>
  <si>
    <t>TEMP_HRS_EACH</t>
  </si>
  <si>
    <t>hours per worker per season</t>
  </si>
  <si>
    <t>TEMP_RATE</t>
  </si>
  <si>
    <t>Derived: TEMP_COST_EACH / TEMP_HRS_EACH (the case's $17.36)</t>
  </si>
  <si>
    <t>MAX_TEMPS</t>
  </si>
  <si>
    <t>workers</t>
  </si>
  <si>
    <t>Legend</t>
  </si>
  <si>
    <t>Blue text = hardcoded input from the case scenario. Do not edit unless the case changes.</t>
  </si>
  <si>
    <t>Black text = formula. Green text = link to another sheet. Yellow fill = cell you set.</t>
  </si>
  <si>
    <t>The three bed counts are the only cells you change by hand; they live on the Optimization sheet.</t>
  </si>
  <si>
    <t>Cost structure at the current bed counts</t>
  </si>
  <si>
    <t>Everything here is a formula. Change the bed counts on the Optimization sheet and these follow.</t>
  </si>
  <si>
    <t>Labor hours — 3.1 and 3.5</t>
  </si>
  <si>
    <t>Tomato labor hours</t>
  </si>
  <si>
    <t>q x hrs/bed-week x weeks x (1+dim)^q</t>
  </si>
  <si>
    <t>Carrot labor hours</t>
  </si>
  <si>
    <t>Mesclun labor hours</t>
  </si>
  <si>
    <t>TOTAL_LABOR_HRS</t>
  </si>
  <si>
    <t>all hours, all three crops</t>
  </si>
  <si>
    <t>Who covers the hours — 3.5</t>
  </si>
  <si>
    <t>FARMER_HRS_USED</t>
  </si>
  <si>
    <t>the farmer is consumed first, always</t>
  </si>
  <si>
    <t>TEMP_HRS_USED</t>
  </si>
  <si>
    <t>temps cover only the remainder</t>
  </si>
  <si>
    <t>TEMPS_REQUIRED</t>
  </si>
  <si>
    <t>headcount for the cap only; cost never uses it</t>
  </si>
  <si>
    <t>Labor cost — 3.6, 3.7, 3.9</t>
  </si>
  <si>
    <t>FARMER_LABOR_COST</t>
  </si>
  <si>
    <t>field hours only; the other half of her salary is not crop labor</t>
  </si>
  <si>
    <t>TEMP_LABOR_COST</t>
  </si>
  <si>
    <t>hours actually used, not a lump sum per worker</t>
  </si>
  <si>
    <t>TOTAL_LABOR_COST</t>
  </si>
  <si>
    <t>BLENDED_RATE</t>
  </si>
  <si>
    <t>total labor dollars / total labor hours</t>
  </si>
  <si>
    <t>Labor allocated to crops at the blended rate — 3.9</t>
  </si>
  <si>
    <t>Reporting only. This allocation is never added on top of TOTAL_LABOR_COST.</t>
  </si>
  <si>
    <t>Tomato labor cost</t>
  </si>
  <si>
    <t>Carrot labor cost</t>
  </si>
  <si>
    <t>Mesclun labor cost</t>
  </si>
  <si>
    <t>Check: allocation equals total</t>
  </si>
  <si>
    <t>must equal TOTAL_LABOR_COST</t>
  </si>
  <si>
    <t>Revenue, fertilizer, profit — 3.3, 3.4, 3.11</t>
  </si>
  <si>
    <t>SEASON_REVENUE</t>
  </si>
  <si>
    <t>price per bed is constant — the farm is a price taker</t>
  </si>
  <si>
    <t>FERTILIZER_COST</t>
  </si>
  <si>
    <t>linear in beds</t>
  </si>
  <si>
    <t>Fixed costs</t>
  </si>
  <si>
    <t>contains no part of FARMER_SALARY</t>
  </si>
  <si>
    <t>TOTAL_COST</t>
  </si>
  <si>
    <t>SEASON_PROFIT</t>
  </si>
  <si>
    <t>labor counted once</t>
  </si>
  <si>
    <t>Hand check — 3.1 at q = 1</t>
  </si>
  <si>
    <t>LABOR_HRS(1) for tomatoes</t>
  </si>
  <si>
    <t>1 x 2.50 x 36 x 1.10 = 99 hours</t>
  </si>
  <si>
    <t>Standalone marginal cost schedules — 3.10</t>
  </si>
  <si>
    <t>Standalone: the other two crops are held at ZERO beds, so each schedule shows that crop alone.</t>
  </si>
  <si>
    <t>Labor cost follows 3.5-3.7: the farmer's 720 field hours first, then temps. Fixed costs are excluded — they cancel in the subtraction.</t>
  </si>
  <si>
    <t>q</t>
  </si>
  <si>
    <t>Labor hours</t>
  </si>
  <si>
    <t>Labor cost</t>
  </si>
  <si>
    <t>Fertilizer</t>
  </si>
  <si>
    <t>Total cost</t>
  </si>
  <si>
    <t>Marginal cost</t>
  </si>
  <si>
    <t>Price per bed</t>
  </si>
  <si>
    <t>MC &lt;= P</t>
  </si>
  <si>
    <t>Run of MC &lt;= P</t>
  </si>
  <si>
    <t>Standalone P = MC point</t>
  </si>
  <si>
    <t>First crossing: the run of MC &lt;= P breaks here.</t>
  </si>
  <si>
    <t>MC is not monotonic — a later q can fall back below price. The run column enforces "first", not "last".</t>
  </si>
  <si>
    <t>Validation rules — Section 4</t>
  </si>
  <si>
    <t>Run Solver first (Optimization sheet), then read this sheet.</t>
  </si>
  <si>
    <t>Check</t>
  </si>
  <si>
    <t>Required</t>
  </si>
  <si>
    <t>Actual</t>
  </si>
  <si>
    <t>Note</t>
  </si>
  <si>
    <t>Optimal mix — tomato beds</t>
  </si>
  <si>
    <t>Must match exactly</t>
  </si>
  <si>
    <t>Optimal mix — carrot beds</t>
  </si>
  <si>
    <t>Optimal mix — mesclun beds</t>
  </si>
  <si>
    <t>60 of the 64 available</t>
  </si>
  <si>
    <t>Passes within +/- $5</t>
  </si>
  <si>
    <t>Standalone P = MC — tomatoes</t>
  </si>
  <si>
    <t>Passes within +/- 1 bed</t>
  </si>
  <si>
    <t>Standalone P = MC — carrots</t>
  </si>
  <si>
    <t>Standalone P = MC — mesclun</t>
  </si>
  <si>
    <t>Hand check — LABOR_HRS(1) tomatoes</t>
  </si>
  <si>
    <t>1 x 2.50 x 36 x 1.10</t>
  </si>
  <si>
    <t>Blended-rate allocation equals total labor cost</t>
  </si>
  <si>
    <t>Labor is never double counted</t>
  </si>
  <si>
    <t>Temp workers required at most 4</t>
  </si>
  <si>
    <t>Headcount, rounded up</t>
  </si>
  <si>
    <t>All constraint checks pass</t>
  </si>
  <si>
    <t>Optimization sheet, D19</t>
  </si>
  <si>
    <t>Hand check — LABOR_HRS(10) tomatoes</t>
  </si>
  <si>
    <t>Second anchor. A flat (1+DIM_PCT) instead of compounding returns 990 here but still 99 at q=1.</t>
  </si>
  <si>
    <t>Farm Profit Lab — MC of the 7th tomato bed</t>
  </si>
  <si>
    <t>Lab totals run $20,000 higher (fixed costs it includes); compare marginal, not total.</t>
  </si>
  <si>
    <t>Structural rules — verified by inspection, not by formula</t>
  </si>
  <si>
    <t>- No error cells anywhere in the workbook — no #REF!, #DIV/0!, #NAME?, #VALUE! or #N/A.</t>
  </si>
  <si>
    <t>- Every calculated cell contains a formula referencing named ranges. No pasted values.</t>
  </si>
  <si>
    <t>- Every input is a real named range carrying the unit stated on the Inputs sheet.</t>
  </si>
  <si>
    <t>- Spot-check: click any cell on Cost structure or MC schedules and confirm the formula bar shows a formula.</t>
  </si>
  <si>
    <t>Solver path-dependence — record both runs here during the audit</t>
  </si>
  <si>
    <t>Starting point</t>
  </si>
  <si>
    <t>0 / 0 / 0</t>
  </si>
  <si>
    <t>20 / 0 / 0</t>
  </si>
  <si>
    <t>Both starting points converged on the same answer: 10 / 20 / 30, season profit $42,762.</t>
  </si>
  <si>
    <t>No path dependence observed. Agreement across two starts is evidence the optimum is global,</t>
  </si>
  <si>
    <t>not the first summit GRG Nonlinear happened to reach. Solver settings were identical in both runs;</t>
  </si>
  <si>
    <t>only the contents of B5:B7 differed.</t>
  </si>
  <si>
    <t>Tom</t>
  </si>
  <si>
    <t>Car</t>
  </si>
  <si>
    <t>Mes</t>
  </si>
  <si>
    <t>Labor hrs</t>
  </si>
  <si>
    <t>Revenue</t>
  </si>
  <si>
    <t>Profit</t>
  </si>
  <si>
    <t>Shadow price</t>
  </si>
  <si>
    <t>Total beds</t>
  </si>
  <si>
    <t>Crop relaxed</t>
  </si>
  <si>
    <t>Temp hrs</t>
  </si>
  <si>
    <t>Feasible</t>
  </si>
  <si>
    <t>Shadow prices of the binding bed caps — 3.13</t>
  </si>
  <si>
    <t>Shadow price — carrot bed cap</t>
  </si>
  <si>
    <t>Shadow price — mesclun bed cap</t>
  </si>
  <si>
    <t>Shadow price equals PRICE - MC(cap+1) — carrots</t>
  </si>
  <si>
    <t>Shadow price equals PRICE - MC(cap+1) — mesclun</t>
  </si>
  <si>
    <t>Passes within +/- $5</t>
  </si>
  <si>
    <t>Two routes through the model, no shared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</si>
</sst>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;\(#,##0.0\);\-"/>
    <numFmt numFmtId="165" formatCode="\$#,##0;\(\$#,##0\);\-"/>
    <numFmt numFmtId="166" formatCode="0.000%"/>
    <numFmt numFmtId="167" formatCode="\$#,##0.00;\(\$#,##0.00\);\-"/>
    <numFmt numFmtId="168" formatCode="#,##0.000000"/>
  </numFmts>
  <fonts count="10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10"/>
      <color rgb="FF008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i/>
      <sz val="9"/>
      <color rgb="FF59595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3" fillId="0" borderId="1" xfId="0" applyFont="1" applyBorder="1"/>
    <xf numFmtId="164" fontId="4" fillId="0" borderId="1" xfId="0" applyNumberFormat="1" applyFont="1" applyBorder="1"/>
    <xf numFmtId="0" fontId="5" fillId="0" borderId="1" xfId="0" applyFont="1" applyBorder="1"/>
    <xf numFmtId="0" fontId="2" fillId="0" borderId="1" xfId="0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4" fontId="5" fillId="0" borderId="1" xfId="0" applyNumberFormat="1" applyFont="1" applyBorder="1"/>
    <xf numFmtId="167" fontId="5" fillId="0" borderId="1" xfId="0" applyNumberFormat="1" applyFont="1" applyBorder="1"/>
    <xf numFmtId="0" fontId="5" fillId="0" borderId="0" xfId="0" applyFont="1"/>
    <xf numFmtId="3" fontId="4" fillId="3" borderId="1" xfId="0" applyNumberFormat="1" applyFont="1" applyFill="1" applyBorder="1"/>
    <xf numFmtId="3" fontId="6" fillId="0" borderId="1" xfId="0" applyNumberFormat="1" applyFont="1" applyBorder="1"/>
    <xf numFmtId="3" fontId="5" fillId="0" borderId="1" xfId="0" applyNumberFormat="1" applyFont="1" applyBorder="1"/>
    <xf numFmtId="164" fontId="6" fillId="0" borderId="1" xfId="0" applyNumberFormat="1" applyFont="1" applyBorder="1"/>
    <xf numFmtId="165" fontId="6" fillId="4" borderId="1" xfId="0" applyNumberFormat="1" applyFont="1" applyFill="1" applyBorder="1"/>
    <xf numFmtId="0" fontId="3" fillId="0" borderId="1" xfId="0" applyFont="1" applyBorder="1" applyAlignment="1">
      <alignment horizontal="center"/>
    </xf>
    <xf numFmtId="165" fontId="5" fillId="0" borderId="1" xfId="0" applyNumberFormat="1" applyFont="1" applyBorder="1"/>
    <xf numFmtId="165" fontId="6" fillId="0" borderId="1" xfId="0" applyNumberFormat="1" applyFont="1" applyBorder="1"/>
    <xf numFmtId="165" fontId="3" fillId="0" borderId="1" xfId="0" applyNumberFormat="1" applyFont="1" applyBorder="1"/>
    <xf numFmtId="0" fontId="3" fillId="2" borderId="1" xfId="0" applyFont="1" applyFill="1" applyBorder="1" applyAlignment="1">
      <alignment horizontal="center" wrapText="1"/>
    </xf>
    <xf numFmtId="1" fontId="5" fillId="0" borderId="1" xfId="0" applyNumberFormat="1" applyFont="1" applyBorder="1"/>
    <xf numFmtId="3" fontId="3" fillId="0" borderId="1" xfId="0" applyNumberFormat="1" applyFont="1" applyBorder="1"/>
    <xf numFmtId="0" fontId="6" fillId="0" borderId="1" xfId="0" applyFont="1" applyBorder="1"/>
    <xf numFmtId="3" fontId="7" fillId="3" borderId="1" xfId="0" applyNumberFormat="1" applyFont="1" applyFill="1" applyBorder="1"/>
    <xf numFmtId="165" fontId="8" fillId="3" borderId="1" xfId="0" applyNumberFormat="1" applyFont="1" applyFill="1" applyBorder="1"/>
    <xf numFmtId="0" fontId="9" fillId="0" borderId="0" xfId="0" applyFont="1"/>
    <xf numFmtId="0" fontId="5" fillId="0" borderId="2" xfId="0" applyFont="1" applyBorder="1"/>
    <xf numFmtId="168" fontId="5" fillId="0" borderId="2" xfId="0" applyNumberFormat="1" applyFont="1" applyBorder="1"/>
    <xf numFmtId="168" fontId="8" fillId="0" borderId="2" xfId="0" applyNumberFormat="1" applyFont="1" applyBorder="1"/>
    <xf numFmtId="0" fontId="3" fillId="0" borderId="2" xfId="0" applyFont="1" applyBorder="1" applyAlignment="1">
      <alignment horizontal="center"/>
    </xf>
    <xf numFmtId="165" fontId="5" fillId="0" borderId="2" xfId="0" applyNumberFormat="1" applyFont="1" applyBorder="1"/>
    <xf numFmtId="165" fontId="8" fillId="0" borderId="2" xfId="0" applyNumberFormat="1" applyFont="1" applyBorder="1"/>
    <xf numFmtId="0" fontId="5" fillId="0" borderId="3" xfId="0" applyFont="1" applyBorder="1"/>
    <xf numFmtId="0" fontId="0" fillId="0" borderId="0" xfId="0" applyAlignment="1">
      <alignment horizontal="center"/>
    </xf>
    <xf numFmtId="0" fontId="6" fillId="0" borderId="0" xfId="0" applyFont="1"/>
    <xf numFmtId="165" fontId="6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Tomato marginal cost against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MCSchedules!$F$6</c:f>
              <c:strCache>
                <c:ptCount val="1"/>
                <c:pt idx="0">
                  <c:v>Marginal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MCSchedules!$A$7:$A$28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</c:numCache>
            </c:numRef>
          </c:cat>
          <c:val>
            <c:numRef>
              <c:f>MCSchedules!$F$7:$F$28</c:f>
              <c:numCache>
                <c:formatCode>\$#,##0;\(\$#,##0\);\-</c:formatCode>
                <c:ptCount val="22"/>
                <c:pt idx="1">
                  <c:v>4317.5</c:v>
                </c:pt>
                <c:pt idx="2">
                  <c:v>5005</c:v>
                </c:pt>
                <c:pt idx="3">
                  <c:v>5795.6250000000036</c:v>
                </c:pt>
                <c:pt idx="4">
                  <c:v>6703.125</c:v>
                </c:pt>
                <c:pt idx="5">
                  <c:v>7660.859375</c:v>
                </c:pt>
                <c:pt idx="6">
                  <c:v>4906.2750000000051</c:v>
                </c:pt>
                <c:pt idx="7">
                  <c:v>5585.7089062500017</c:v>
                </c:pt>
                <c:pt idx="8">
                  <c:v>6360.7668437500033</c:v>
                </c:pt>
                <c:pt idx="9">
                  <c:v>7243.7792796875074</c:v>
                </c:pt>
                <c:pt idx="10">
                  <c:v>8248.586534375012</c:v>
                </c:pt>
                <c:pt idx="11">
                  <c:v>9390.7174472031256</c:v>
                </c:pt>
                <c:pt idx="12">
                  <c:v>10687.588677253138</c:v>
                </c:pt>
                <c:pt idx="13">
                  <c:v>12158.726978841107</c:v>
                </c:pt>
                <c:pt idx="14">
                  <c:v>13826.017053974152</c:v>
                </c:pt>
                <c:pt idx="15">
                  <c:v>15713.977874345364</c:v>
                </c:pt>
                <c:pt idx="16">
                  <c:v>17850.070688251115</c:v>
                </c:pt>
                <c:pt idx="17">
                  <c:v>20265.042286194512</c:v>
                </c:pt>
                <c:pt idx="18">
                  <c:v>22993.307496844121</c:v>
                </c:pt>
                <c:pt idx="19">
                  <c:v>26073.375326761772</c:v>
                </c:pt>
                <c:pt idx="20">
                  <c:v>29548.323647694342</c:v>
                </c:pt>
                <c:pt idx="21">
                  <c:v>33466.327879545948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9-A64F-B975-C750F934FDE6}"/>
            </c:ext>
          </c:extLst>
        </c:ser>
        <c:ser>
          <c:idx val="1"/>
          <c:order val="1"/>
          <c:tx>
            <c:strRef>
              <c:f>MCSchedules!$G$6</c:f>
              <c:strCache>
                <c:ptCount val="1"/>
                <c:pt idx="0">
                  <c:v>Price per bed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MCSchedules!$A$7:$A$28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</c:numCache>
            </c:numRef>
          </c:cat>
          <c:val>
            <c:numRef>
              <c:f>MCSchedules!$G$7:$G$28</c:f>
              <c:numCache>
                <c:formatCode>\$#,##0;\(\$#,##0\);\-</c:formatCode>
                <c:ptCount val="22"/>
                <c:pt idx="0">
                  <c:v>8800</c:v>
                </c:pt>
                <c:pt idx="1">
                  <c:v>8800</c:v>
                </c:pt>
                <c:pt idx="2">
                  <c:v>8800</c:v>
                </c:pt>
                <c:pt idx="3">
                  <c:v>8800</c:v>
                </c:pt>
                <c:pt idx="4">
                  <c:v>8800</c:v>
                </c:pt>
                <c:pt idx="5">
                  <c:v>8800</c:v>
                </c:pt>
                <c:pt idx="6">
                  <c:v>8800</c:v>
                </c:pt>
                <c:pt idx="7">
                  <c:v>8800</c:v>
                </c:pt>
                <c:pt idx="8">
                  <c:v>8800</c:v>
                </c:pt>
                <c:pt idx="9">
                  <c:v>8800</c:v>
                </c:pt>
                <c:pt idx="10">
                  <c:v>8800</c:v>
                </c:pt>
                <c:pt idx="11">
                  <c:v>8800</c:v>
                </c:pt>
                <c:pt idx="12">
                  <c:v>8800</c:v>
                </c:pt>
                <c:pt idx="13">
                  <c:v>8800</c:v>
                </c:pt>
                <c:pt idx="14">
                  <c:v>8800</c:v>
                </c:pt>
                <c:pt idx="15">
                  <c:v>8800</c:v>
                </c:pt>
                <c:pt idx="16">
                  <c:v>8800</c:v>
                </c:pt>
                <c:pt idx="17">
                  <c:v>8800</c:v>
                </c:pt>
                <c:pt idx="18">
                  <c:v>8800</c:v>
                </c:pt>
                <c:pt idx="19">
                  <c:v>8800</c:v>
                </c:pt>
                <c:pt idx="20">
                  <c:v>8800</c:v>
                </c:pt>
                <c:pt idx="21">
                  <c:v>8800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69-A64F-B975-C750F934F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1214463"/>
        <c:axId val="2001214911"/>
      </c:lineChart>
      <c:catAx>
        <c:axId val="2001214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</a:defRPr>
                </a:pPr>
                <a:r>
                  <a:rPr lang="en-US"/>
                  <a:t>Tomato beds planted</a:t>
                </a:r>
              </a:p>
            </c:rich>
          </c:tx>
          <c:overlay val="0"/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214911"/>
        <c:crosses val="autoZero"/>
        <c:auto val="1"/>
        <c:lblAlgn val="ctr"/>
        <c:lblOffset val="100"/>
        <c:noMultiLvlLbl val="0"/>
      </c:catAx>
      <c:valAx>
        <c:axId val="2001214911"/>
        <c:scaling>
          <c:orientation val="minMax"/>
        </c:scaling>
        <c:delete val="0"/>
        <c:axPos val="l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</a:defRPr>
                </a:pPr>
                <a:r>
                  <a:rPr lang="en-US"/>
                  <a:t>Dollars per bed</a:t>
                </a:r>
              </a:p>
            </c:rich>
          </c:tx>
          <c:overlay val="0"/>
        </c:title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21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Carrot marginal cost against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MCSchedules!$P$6</c:f>
              <c:strCache>
                <c:ptCount val="1"/>
                <c:pt idx="0">
                  <c:v>Marginal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MCSchedules!$K$7:$K$28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</c:numCache>
            </c:numRef>
          </c:cat>
          <c:val>
            <c:numRef>
              <c:f>MCSchedules!$P$7:$P$28</c:f>
              <c:numCache>
                <c:formatCode>\$#,##0;\(\$#,##0\);\-</c:formatCode>
                <c:ptCount val="22"/>
                <c:pt idx="1">
                  <c:v>1507.7083333333333</c:v>
                </c:pt>
                <c:pt idx="2">
                  <c:v>1561.0937499999998</c:v>
                </c:pt>
                <c:pt idx="3">
                  <c:v>1616.481119791667</c:v>
                </c:pt>
                <c:pt idx="4">
                  <c:v>1673.9371744791652</c:v>
                </c:pt>
                <c:pt idx="5">
                  <c:v>1733.530731201171</c:v>
                </c:pt>
                <c:pt idx="6">
                  <c:v>1795.332755025227</c:v>
                </c:pt>
                <c:pt idx="7">
                  <c:v>1859.4164233334868</c:v>
                </c:pt>
                <c:pt idx="8">
                  <c:v>1925.8571920852646</c:v>
                </c:pt>
                <c:pt idx="9">
                  <c:v>1994.7328640100477</c:v>
                </c:pt>
                <c:pt idx="10">
                  <c:v>2066.1236587860258</c:v>
                </c:pt>
                <c:pt idx="11">
                  <c:v>2140.1122852607878</c:v>
                </c:pt>
                <c:pt idx="12">
                  <c:v>2216.7840157725441</c:v>
                </c:pt>
                <c:pt idx="13">
                  <c:v>2296.2267626316061</c:v>
                </c:pt>
                <c:pt idx="14">
                  <c:v>2378.5311568237667</c:v>
                </c:pt>
                <c:pt idx="15">
                  <c:v>2463.7906289988823</c:v>
                </c:pt>
                <c:pt idx="16">
                  <c:v>2552.1014928097429</c:v>
                </c:pt>
                <c:pt idx="17">
                  <c:v>1670.9013431626554</c:v>
                </c:pt>
                <c:pt idx="18">
                  <c:v>1589.1387909931072</c:v>
                </c:pt>
                <c:pt idx="19">
                  <c:v>1638.1753169880685</c:v>
                </c:pt>
                <c:pt idx="20">
                  <c:v>1688.9454575384007</c:v>
                </c:pt>
                <c:pt idx="21">
                  <c:v>1741.5052455431578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13-AC49-A41C-80AAC7862CDF}"/>
            </c:ext>
          </c:extLst>
        </c:ser>
        <c:ser>
          <c:idx val="1"/>
          <c:order val="1"/>
          <c:tx>
            <c:strRef>
              <c:f>MCSchedules!$Q$6</c:f>
              <c:strCache>
                <c:ptCount val="1"/>
                <c:pt idx="0">
                  <c:v>Price per bed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MCSchedules!$K$7:$K$28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</c:numCache>
            </c:numRef>
          </c:cat>
          <c:val>
            <c:numRef>
              <c:f>MCSchedules!$Q$7:$Q$28</c:f>
              <c:numCache>
                <c:formatCode>\$#,##0;\(\$#,##0\);\-</c:formatCode>
                <c:ptCount val="22"/>
                <c:pt idx="0">
                  <c:v>2094</c:v>
                </c:pt>
                <c:pt idx="1">
                  <c:v>2094</c:v>
                </c:pt>
                <c:pt idx="2">
                  <c:v>2094</c:v>
                </c:pt>
                <c:pt idx="3">
                  <c:v>2094</c:v>
                </c:pt>
                <c:pt idx="4">
                  <c:v>2094</c:v>
                </c:pt>
                <c:pt idx="5">
                  <c:v>2094</c:v>
                </c:pt>
                <c:pt idx="6">
                  <c:v>2094</c:v>
                </c:pt>
                <c:pt idx="7">
                  <c:v>2094</c:v>
                </c:pt>
                <c:pt idx="8">
                  <c:v>2094</c:v>
                </c:pt>
                <c:pt idx="9">
                  <c:v>2094</c:v>
                </c:pt>
                <c:pt idx="10">
                  <c:v>2094</c:v>
                </c:pt>
                <c:pt idx="11">
                  <c:v>2094</c:v>
                </c:pt>
                <c:pt idx="12">
                  <c:v>2094</c:v>
                </c:pt>
                <c:pt idx="13">
                  <c:v>2094</c:v>
                </c:pt>
                <c:pt idx="14">
                  <c:v>2094</c:v>
                </c:pt>
                <c:pt idx="15">
                  <c:v>2094</c:v>
                </c:pt>
                <c:pt idx="16">
                  <c:v>2094</c:v>
                </c:pt>
                <c:pt idx="17">
                  <c:v>2094</c:v>
                </c:pt>
                <c:pt idx="18">
                  <c:v>2094</c:v>
                </c:pt>
                <c:pt idx="19">
                  <c:v>2094</c:v>
                </c:pt>
                <c:pt idx="20">
                  <c:v>2094</c:v>
                </c:pt>
                <c:pt idx="21">
                  <c:v>2094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13-AC49-A41C-80AAC7862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1121535"/>
        <c:axId val="1985381695"/>
      </c:lineChart>
      <c:catAx>
        <c:axId val="2001121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</a:defRPr>
                </a:pPr>
                <a:r>
                  <a:rPr lang="en-US"/>
                  <a:t>Carrot beds planted</a:t>
                </a:r>
              </a:p>
            </c:rich>
          </c:tx>
          <c:overlay val="0"/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381695"/>
        <c:crosses val="autoZero"/>
        <c:auto val="1"/>
        <c:lblAlgn val="ctr"/>
        <c:lblOffset val="100"/>
        <c:noMultiLvlLbl val="0"/>
      </c:catAx>
      <c:valAx>
        <c:axId val="1985381695"/>
        <c:scaling>
          <c:orientation val="minMax"/>
        </c:scaling>
        <c:delete val="0"/>
        <c:axPos val="l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</a:defRPr>
                </a:pPr>
                <a:r>
                  <a:rPr lang="en-US"/>
                  <a:t>Dollars per bed</a:t>
                </a:r>
              </a:p>
            </c:rich>
          </c:tx>
          <c:overlay val="0"/>
        </c:title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12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Mesclun marginal cost against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MCSchedules!$Z$6</c:f>
              <c:strCache>
                <c:ptCount val="1"/>
                <c:pt idx="0">
                  <c:v>Marginal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MCSchedules!$U$7:$U$38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cat>
          <c:val>
            <c:numRef>
              <c:f>MCSchedules!$Z$7:$Z$38</c:f>
              <c:numCache>
                <c:formatCode>\$#,##0;\(\$#,##0\);\-</c:formatCode>
                <c:ptCount val="32"/>
                <c:pt idx="1">
                  <c:v>2462.03125</c:v>
                </c:pt>
                <c:pt idx="2">
                  <c:v>2501.58203125</c:v>
                </c:pt>
                <c:pt idx="3">
                  <c:v>2541.8743896484366</c:v>
                </c:pt>
                <c:pt idx="4">
                  <c:v>2582.920684814454</c:v>
                </c:pt>
                <c:pt idx="5">
                  <c:v>2624.7334694862348</c:v>
                </c:pt>
                <c:pt idx="6">
                  <c:v>2667.3254924178127</c:v>
                </c:pt>
                <c:pt idx="7">
                  <c:v>2710.7097013180683</c:v>
                </c:pt>
                <c:pt idx="8">
                  <c:v>2754.8992458326466</c:v>
                </c:pt>
                <c:pt idx="9">
                  <c:v>2799.9074805692508</c:v>
                </c:pt>
                <c:pt idx="10">
                  <c:v>2845.7479681671139</c:v>
                </c:pt>
                <c:pt idx="11">
                  <c:v>2892.4344824110776</c:v>
                </c:pt>
                <c:pt idx="12">
                  <c:v>2939.9810113911262</c:v>
                </c:pt>
                <c:pt idx="13">
                  <c:v>2988.4017607077876</c:v>
                </c:pt>
                <c:pt idx="14">
                  <c:v>2522.5810943551696</c:v>
                </c:pt>
                <c:pt idx="15">
                  <c:v>1983.9619249331008</c:v>
                </c:pt>
                <c:pt idx="16">
                  <c:v>2009.5273589841818</c:v>
                </c:pt>
                <c:pt idx="17">
                  <c:v>2035.5594348357699</c:v>
                </c:pt>
                <c:pt idx="18">
                  <c:v>2062.0658239338081</c:v>
                </c:pt>
                <c:pt idx="19">
                  <c:v>2089.0543165975978</c:v>
                </c:pt>
                <c:pt idx="20">
                  <c:v>2116.532823793008</c:v>
                </c:pt>
                <c:pt idx="21">
                  <c:v>2144.5093789313105</c:v>
                </c:pt>
                <c:pt idx="22">
                  <c:v>2172.9921396943828</c:v>
                </c:pt>
                <c:pt idx="23">
                  <c:v>2201.9893898860464</c:v>
                </c:pt>
                <c:pt idx="24">
                  <c:v>2231.5095413106901</c:v>
                </c:pt>
                <c:pt idx="25">
                  <c:v>2261.5611356787776</c:v>
                </c:pt>
                <c:pt idx="26">
                  <c:v>2292.1528465402444</c:v>
                </c:pt>
                <c:pt idx="27">
                  <c:v>2323.2934812457679</c:v>
                </c:pt>
                <c:pt idx="28">
                  <c:v>2354.9919829366991</c:v>
                </c:pt>
                <c:pt idx="29">
                  <c:v>2387.2574325634341</c:v>
                </c:pt>
                <c:pt idx="30">
                  <c:v>2420.0990509335097</c:v>
                </c:pt>
                <c:pt idx="31">
                  <c:v>2453.5262007889978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8E-E546-9D69-B8CEA0EBE2EB}"/>
            </c:ext>
          </c:extLst>
        </c:ser>
        <c:ser>
          <c:idx val="1"/>
          <c:order val="1"/>
          <c:tx>
            <c:strRef>
              <c:f>MCSchedules!$AA$6</c:f>
              <c:strCache>
                <c:ptCount val="1"/>
                <c:pt idx="0">
                  <c:v>Price per bed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MCSchedules!$U$7:$U$38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cat>
          <c:val>
            <c:numRef>
              <c:f>MCSchedules!$AA$7:$AA$38</c:f>
              <c:numCache>
                <c:formatCode>\$#,##0;\(\$#,##0\);\-</c:formatCode>
                <c:ptCount val="32"/>
                <c:pt idx="0">
                  <c:v>2700</c:v>
                </c:pt>
                <c:pt idx="1">
                  <c:v>2700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  <c:pt idx="7">
                  <c:v>2700</c:v>
                </c:pt>
                <c:pt idx="8">
                  <c:v>2700</c:v>
                </c:pt>
                <c:pt idx="9">
                  <c:v>2700</c:v>
                </c:pt>
                <c:pt idx="10">
                  <c:v>2700</c:v>
                </c:pt>
                <c:pt idx="11">
                  <c:v>2700</c:v>
                </c:pt>
                <c:pt idx="12">
                  <c:v>2700</c:v>
                </c:pt>
                <c:pt idx="13">
                  <c:v>2700</c:v>
                </c:pt>
                <c:pt idx="14">
                  <c:v>2700</c:v>
                </c:pt>
                <c:pt idx="15">
                  <c:v>2700</c:v>
                </c:pt>
                <c:pt idx="16">
                  <c:v>2700</c:v>
                </c:pt>
                <c:pt idx="17">
                  <c:v>2700</c:v>
                </c:pt>
                <c:pt idx="18">
                  <c:v>2700</c:v>
                </c:pt>
                <c:pt idx="19">
                  <c:v>2700</c:v>
                </c:pt>
                <c:pt idx="20">
                  <c:v>2700</c:v>
                </c:pt>
                <c:pt idx="21">
                  <c:v>2700</c:v>
                </c:pt>
                <c:pt idx="22">
                  <c:v>2700</c:v>
                </c:pt>
                <c:pt idx="23">
                  <c:v>2700</c:v>
                </c:pt>
                <c:pt idx="24">
                  <c:v>2700</c:v>
                </c:pt>
                <c:pt idx="25">
                  <c:v>2700</c:v>
                </c:pt>
                <c:pt idx="26">
                  <c:v>2700</c:v>
                </c:pt>
                <c:pt idx="27">
                  <c:v>2700</c:v>
                </c:pt>
                <c:pt idx="28">
                  <c:v>2700</c:v>
                </c:pt>
                <c:pt idx="29">
                  <c:v>2700</c:v>
                </c:pt>
                <c:pt idx="30">
                  <c:v>2700</c:v>
                </c:pt>
                <c:pt idx="31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8E-E546-9D69-B8CEA0EBE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1925247"/>
        <c:axId val="2001924351"/>
      </c:lineChart>
      <c:catAx>
        <c:axId val="2001925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</a:defRPr>
                </a:pPr>
                <a:r>
                  <a:rPr lang="en-US"/>
                  <a:t>Mesclun beds planted</a:t>
                </a:r>
              </a:p>
            </c:rich>
          </c:tx>
          <c:overlay val="0"/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924351"/>
        <c:crosses val="autoZero"/>
        <c:auto val="1"/>
        <c:lblAlgn val="ctr"/>
        <c:lblOffset val="100"/>
        <c:noMultiLvlLbl val="0"/>
      </c:catAx>
      <c:valAx>
        <c:axId val="2001924351"/>
        <c:scaling>
          <c:orientation val="minMax"/>
        </c:scaling>
        <c:delete val="0"/>
        <c:axPos val="l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</a:defRPr>
                </a:pPr>
                <a:r>
                  <a:rPr lang="en-US"/>
                  <a:t>Dollars per bed</a:t>
                </a:r>
              </a:p>
            </c:rich>
          </c:tx>
          <c:overlay val="0"/>
        </c:title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92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317500</xdr:colOff>
      <xdr:row>31</xdr:row>
      <xdr:rowOff>139700</xdr:rowOff>
    </xdr:from>
    <xdr:to>
      <xdr:col>5</xdr:col>
      <xdr:colOff>622300</xdr:colOff>
      <xdr:row>46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EDF97E-CB0F-599D-B8EA-462772517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412750</xdr:colOff>
      <xdr:row>32</xdr:row>
      <xdr:rowOff>63500</xdr:rowOff>
    </xdr:from>
    <xdr:to>
      <xdr:col>16</xdr:col>
      <xdr:colOff>565150</xdr:colOff>
      <xdr:row>46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20DDC0-6B04-BD12-D6A0-4690F32D5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222250</xdr:colOff>
      <xdr:row>42</xdr:row>
      <xdr:rowOff>0</xdr:rowOff>
    </xdr:from>
    <xdr:to>
      <xdr:col>26</xdr:col>
      <xdr:colOff>374650</xdr:colOff>
      <xdr:row>56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30F6162-8976-118B-DCB0-D91F245AB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showGridLines="0" workbookViewId="0"/>
  </sheetViews>
  <sheetFormatPr baseColWidth="10" defaultColWidth="8.83203125" defaultRowHeight="15" x14ac:dyDescent="0.2"/>
  <cols>
    <col min="1" max="1" width="30" customWidth="1"/>
    <col min="2" max="4" width="14" customWidth="1"/>
    <col min="5" max="5" width="30" customWidth="1"/>
    <col min="6" max="6" width="46" customWidth="1"/>
  </cols>
  <sheetData>
    <row r="1" spans="1:6" ht="16" customHeight="1" x14ac:dyDescent="0.2">
      <c r="A1" s="1" t="s">
        <v>61</v>
      </c>
    </row>
    <row r="2" spans="1:6" x14ac:dyDescent="0.2">
      <c r="A2" s="2" t="s">
        <v>62</v>
      </c>
    </row>
    <row r="4" spans="1:6" x14ac:dyDescent="0.2">
      <c r="A4" s="3" t="s">
        <v>63</v>
      </c>
    </row>
    <row r="5" spans="1:6" x14ac:dyDescent="0.2">
      <c r="A5" s="4" t="s">
        <v>64</v>
      </c>
      <c r="B5" s="4" t="s">
        <v>65</v>
      </c>
      <c r="C5" s="4" t="s">
        <v>66</v>
      </c>
      <c r="D5" s="4" t="s">
        <v>67</v>
      </c>
      <c r="E5" s="4" t="s">
        <v>68</v>
      </c>
      <c r="F5" s="4" t="s">
        <v>69</v>
      </c>
    </row>
    <row r="6" spans="1:6" x14ac:dyDescent="0.2">
      <c r="A6" s="5" t="s">
        <v>70</v>
      </c>
      <c r="B6" s="6">
        <v>20</v>
      </c>
      <c r="C6" s="6">
        <v>20</v>
      </c>
      <c r="D6" s="6">
        <v>30</v>
      </c>
      <c r="E6" s="7" t="s">
        <v>71</v>
      </c>
      <c r="F6" s="8" t="s">
        <v>72</v>
      </c>
    </row>
    <row r="7" spans="1:6" x14ac:dyDescent="0.2">
      <c r="A7" s="5" t="s">
        <v>73</v>
      </c>
      <c r="B7" s="9">
        <v>8800</v>
      </c>
      <c r="C7" s="9">
        <v>2094</v>
      </c>
      <c r="D7" s="9">
        <v>2700</v>
      </c>
      <c r="E7" s="7" t="s">
        <v>74</v>
      </c>
      <c r="F7" s="8" t="s">
        <v>75</v>
      </c>
    </row>
    <row r="8" spans="1:6" x14ac:dyDescent="0.2">
      <c r="A8" s="5" t="s">
        <v>76</v>
      </c>
      <c r="B8" s="6">
        <v>2.5</v>
      </c>
      <c r="C8" s="6">
        <v>0.83333333333333337</v>
      </c>
      <c r="D8" s="6">
        <v>1.25</v>
      </c>
      <c r="E8" s="7" t="s">
        <v>77</v>
      </c>
      <c r="F8" s="8" t="s">
        <v>78</v>
      </c>
    </row>
    <row r="9" spans="1:6" x14ac:dyDescent="0.2">
      <c r="A9" s="5" t="s">
        <v>79</v>
      </c>
      <c r="B9" s="9">
        <v>880</v>
      </c>
      <c r="C9" s="9">
        <v>440</v>
      </c>
      <c r="D9" s="9">
        <v>880</v>
      </c>
      <c r="E9" s="7" t="s">
        <v>80</v>
      </c>
      <c r="F9" s="8" t="s">
        <v>72</v>
      </c>
    </row>
    <row r="10" spans="1:6" x14ac:dyDescent="0.2">
      <c r="A10" s="5" t="s">
        <v>81</v>
      </c>
      <c r="B10" s="10">
        <v>0.1</v>
      </c>
      <c r="C10" s="10">
        <v>2.5000000000000001E-2</v>
      </c>
      <c r="D10" s="10">
        <v>1.2500000000000001E-2</v>
      </c>
      <c r="E10" s="7" t="s">
        <v>82</v>
      </c>
      <c r="F10" s="8" t="s">
        <v>83</v>
      </c>
    </row>
    <row r="12" spans="1:6" x14ac:dyDescent="0.2">
      <c r="A12" s="3" t="s">
        <v>84</v>
      </c>
    </row>
    <row r="13" spans="1:6" x14ac:dyDescent="0.2">
      <c r="A13" s="4" t="s">
        <v>64</v>
      </c>
      <c r="B13" s="4" t="s">
        <v>21</v>
      </c>
      <c r="C13" s="4"/>
      <c r="D13" s="4"/>
      <c r="E13" s="4" t="s">
        <v>68</v>
      </c>
      <c r="F13" s="4" t="s">
        <v>69</v>
      </c>
    </row>
    <row r="14" spans="1:6" x14ac:dyDescent="0.2">
      <c r="A14" s="5" t="s">
        <v>85</v>
      </c>
      <c r="B14" s="6">
        <v>36</v>
      </c>
      <c r="E14" s="7" t="s">
        <v>86</v>
      </c>
      <c r="F14" s="8" t="s">
        <v>87</v>
      </c>
    </row>
    <row r="15" spans="1:6" x14ac:dyDescent="0.2">
      <c r="A15" s="5" t="s">
        <v>88</v>
      </c>
      <c r="B15" s="9">
        <v>20000</v>
      </c>
      <c r="E15" s="7" t="s">
        <v>89</v>
      </c>
      <c r="F15" s="8" t="s">
        <v>87</v>
      </c>
    </row>
    <row r="16" spans="1:6" x14ac:dyDescent="0.2">
      <c r="A16" s="5" t="s">
        <v>90</v>
      </c>
      <c r="B16" s="6">
        <v>64</v>
      </c>
      <c r="E16" s="7" t="s">
        <v>91</v>
      </c>
      <c r="F16" s="8" t="s">
        <v>87</v>
      </c>
    </row>
    <row r="17" spans="1:6" x14ac:dyDescent="0.2">
      <c r="A17" s="5" t="s">
        <v>92</v>
      </c>
      <c r="B17" s="9">
        <v>50000</v>
      </c>
      <c r="E17" s="7" t="s">
        <v>89</v>
      </c>
      <c r="F17" s="8" t="s">
        <v>87</v>
      </c>
    </row>
    <row r="18" spans="1:6" x14ac:dyDescent="0.2">
      <c r="A18" s="5" t="s">
        <v>93</v>
      </c>
      <c r="B18" s="6">
        <v>720</v>
      </c>
      <c r="E18" s="7" t="s">
        <v>94</v>
      </c>
      <c r="F18" s="8" t="s">
        <v>95</v>
      </c>
    </row>
    <row r="19" spans="1:6" x14ac:dyDescent="0.2">
      <c r="A19" s="5" t="s">
        <v>96</v>
      </c>
      <c r="B19" s="11">
        <f>2*FARMER_FIELD_HRS</f>
        <v>1440</v>
      </c>
      <c r="E19" s="7" t="s">
        <v>94</v>
      </c>
      <c r="F19" s="8" t="s">
        <v>97</v>
      </c>
    </row>
    <row r="20" spans="1:6" x14ac:dyDescent="0.2">
      <c r="A20" s="5" t="s">
        <v>98</v>
      </c>
      <c r="B20" s="12">
        <f>FARMER_SALARY/FARMER_SEASON_HRS</f>
        <v>34.722222222222221</v>
      </c>
      <c r="E20" s="7" t="s">
        <v>99</v>
      </c>
      <c r="F20" s="8" t="s">
        <v>100</v>
      </c>
    </row>
    <row r="21" spans="1:6" x14ac:dyDescent="0.2">
      <c r="A21" s="5" t="s">
        <v>101</v>
      </c>
      <c r="B21" s="9">
        <v>25000</v>
      </c>
      <c r="E21" s="7" t="s">
        <v>102</v>
      </c>
      <c r="F21" s="8" t="s">
        <v>87</v>
      </c>
    </row>
    <row r="22" spans="1:6" x14ac:dyDescent="0.2">
      <c r="A22" s="5" t="s">
        <v>103</v>
      </c>
      <c r="B22" s="6">
        <v>1440</v>
      </c>
      <c r="E22" s="7" t="s">
        <v>104</v>
      </c>
      <c r="F22" s="8" t="s">
        <v>87</v>
      </c>
    </row>
    <row r="23" spans="1:6" x14ac:dyDescent="0.2">
      <c r="A23" s="5" t="s">
        <v>105</v>
      </c>
      <c r="B23" s="12">
        <f>TEMP_COST_EACH/TEMP_HRS_EACH</f>
        <v>17.361111111111111</v>
      </c>
      <c r="E23" s="7" t="s">
        <v>99</v>
      </c>
      <c r="F23" s="8" t="s">
        <v>106</v>
      </c>
    </row>
    <row r="24" spans="1:6" x14ac:dyDescent="0.2">
      <c r="A24" s="5" t="s">
        <v>107</v>
      </c>
      <c r="B24" s="6">
        <v>4</v>
      </c>
      <c r="E24" s="7" t="s">
        <v>108</v>
      </c>
      <c r="F24" s="8" t="s">
        <v>87</v>
      </c>
    </row>
    <row r="26" spans="1:6" x14ac:dyDescent="0.2">
      <c r="A26" s="3" t="s">
        <v>109</v>
      </c>
    </row>
    <row r="27" spans="1:6" x14ac:dyDescent="0.2">
      <c r="A27" s="2" t="s">
        <v>110</v>
      </c>
    </row>
    <row r="28" spans="1:6" x14ac:dyDescent="0.2">
      <c r="A28" s="2" t="s">
        <v>111</v>
      </c>
    </row>
    <row r="29" spans="1:6" x14ac:dyDescent="0.2">
      <c r="A29" s="2" t="s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2"/>
  <sheetViews>
    <sheetView showGridLines="0" zoomScaleNormal="100" workbookViewId="0">
      <selection activeCell="L71" sqref="L71"/>
    </sheetView>
  </sheetViews>
  <sheetFormatPr baseColWidth="10" defaultColWidth="8.83203125" defaultRowHeight="15" x14ac:dyDescent="0.2"/>
  <cols>
    <col min="1" max="1" width="36" customWidth="1"/>
    <col min="2" max="3" width="16" customWidth="1"/>
    <col min="4" max="4" width="12" customWidth="1"/>
    <col min="5" max="5" width="54" customWidth="1"/>
    <col min="6" max="6" width="13.33203125" customWidth="1"/>
    <col min="7" max="7" width="20.1640625" customWidth="1"/>
    <col min="8" max="8" width="14" customWidth="1"/>
    <col min="9" max="9" width="10.83203125" customWidth="1"/>
    <col min="10" max="10" width="14.33203125" customWidth="1"/>
    <col min="11" max="11" width="15.5" customWidth="1"/>
  </cols>
  <sheetData>
    <row r="1" spans="1:5" ht="16" customHeight="1" x14ac:dyDescent="0.2">
      <c r="A1" s="1" t="s">
        <v>0</v>
      </c>
    </row>
    <row r="2" spans="1:5" x14ac:dyDescent="0.2">
      <c r="A2" s="2" t="s">
        <v>1</v>
      </c>
    </row>
    <row r="4" spans="1:5" x14ac:dyDescent="0.2">
      <c r="A4" s="3" t="s">
        <v>2</v>
      </c>
      <c r="B4" t="s">
        <v>3</v>
      </c>
      <c r="C4" t="s">
        <v>4</v>
      </c>
    </row>
    <row r="5" spans="1:5" x14ac:dyDescent="0.2">
      <c r="A5" s="13" t="s">
        <v>5</v>
      </c>
      <c r="B5" s="14">
        <v>10</v>
      </c>
      <c r="C5" s="15">
        <f>MAX_BEDS_TOM</f>
        <v>20</v>
      </c>
      <c r="E5" s="2" t="s">
        <v>6</v>
      </c>
    </row>
    <row r="6" spans="1:5" x14ac:dyDescent="0.2">
      <c r="A6" s="13" t="s">
        <v>7</v>
      </c>
      <c r="B6" s="14">
        <v>20</v>
      </c>
      <c r="C6" s="15">
        <f>MAX_BEDS_CAR</f>
        <v>20</v>
      </c>
      <c r="E6" s="2" t="s">
        <v>6</v>
      </c>
    </row>
    <row r="7" spans="1:5" x14ac:dyDescent="0.2">
      <c r="A7" s="13" t="s">
        <v>8</v>
      </c>
      <c r="B7" s="14">
        <v>30</v>
      </c>
      <c r="C7" s="15">
        <f>MAX_BEDS_MES</f>
        <v>30</v>
      </c>
      <c r="E7" s="2" t="s">
        <v>6</v>
      </c>
    </row>
    <row r="9" spans="1:5" x14ac:dyDescent="0.2">
      <c r="A9" s="3" t="s">
        <v>9</v>
      </c>
    </row>
    <row r="10" spans="1:5" x14ac:dyDescent="0.2">
      <c r="A10" s="13" t="s">
        <v>10</v>
      </c>
      <c r="B10" s="16">
        <f>SUM(B5:B7)</f>
        <v>60</v>
      </c>
      <c r="C10" s="15">
        <f>TOTAL_BED_CAP</f>
        <v>64</v>
      </c>
      <c r="E10" s="2" t="s">
        <v>11</v>
      </c>
    </row>
    <row r="11" spans="1:5" x14ac:dyDescent="0.2">
      <c r="A11" s="13" t="s">
        <v>12</v>
      </c>
      <c r="B11" s="17">
        <f>TEMP_HRS_USED</f>
        <v>4557.2161142738878</v>
      </c>
      <c r="C11" s="17">
        <f>MAX_TEMPS*TEMP_HRS_EACH</f>
        <v>5760</v>
      </c>
      <c r="E11" s="2" t="s">
        <v>13</v>
      </c>
    </row>
    <row r="12" spans="1:5" x14ac:dyDescent="0.2">
      <c r="E12" s="2" t="s">
        <v>14</v>
      </c>
    </row>
    <row r="13" spans="1:5" x14ac:dyDescent="0.2">
      <c r="A13" s="13" t="s">
        <v>15</v>
      </c>
      <c r="B13" s="15">
        <f>TEMPS_REQUIRED</f>
        <v>4</v>
      </c>
      <c r="C13" s="15">
        <f>MAX_TEMPS</f>
        <v>4</v>
      </c>
      <c r="E13" s="2" t="s">
        <v>16</v>
      </c>
    </row>
    <row r="15" spans="1:5" x14ac:dyDescent="0.2">
      <c r="A15" s="3" t="s">
        <v>17</v>
      </c>
    </row>
    <row r="16" spans="1:5" x14ac:dyDescent="0.2">
      <c r="A16" s="13" t="s">
        <v>18</v>
      </c>
      <c r="B16" s="18">
        <f>SEASON_PROFIT</f>
        <v>42761.664682745002</v>
      </c>
    </row>
    <row r="18" spans="1:4" x14ac:dyDescent="0.2">
      <c r="A18" s="3" t="s">
        <v>19</v>
      </c>
    </row>
    <row r="19" spans="1:4" x14ac:dyDescent="0.2">
      <c r="A19" s="4" t="s">
        <v>20</v>
      </c>
      <c r="B19" s="4" t="s">
        <v>21</v>
      </c>
      <c r="C19" s="4" t="s">
        <v>22</v>
      </c>
      <c r="D19" s="4" t="s">
        <v>23</v>
      </c>
    </row>
    <row r="20" spans="1:4" x14ac:dyDescent="0.2">
      <c r="A20" s="7" t="s">
        <v>24</v>
      </c>
      <c r="B20" s="16">
        <f t="shared" ref="B20:C22" si="0">B5</f>
        <v>10</v>
      </c>
      <c r="C20" s="16">
        <f t="shared" si="0"/>
        <v>20</v>
      </c>
      <c r="D20" s="19" t="str">
        <f>IF(B20&lt;=C20,"PASS","FAIL")</f>
        <v>PASS</v>
      </c>
    </row>
    <row r="21" spans="1:4" x14ac:dyDescent="0.2">
      <c r="A21" s="7" t="s">
        <v>25</v>
      </c>
      <c r="B21" s="16">
        <f t="shared" si="0"/>
        <v>20</v>
      </c>
      <c r="C21" s="16">
        <f t="shared" si="0"/>
        <v>20</v>
      </c>
      <c r="D21" s="19" t="str">
        <f>IF(B21&lt;=C21,"PASS","FAIL")</f>
        <v>PASS</v>
      </c>
    </row>
    <row r="22" spans="1:4" x14ac:dyDescent="0.2">
      <c r="A22" s="7" t="s">
        <v>26</v>
      </c>
      <c r="B22" s="16">
        <f t="shared" si="0"/>
        <v>30</v>
      </c>
      <c r="C22" s="16">
        <f t="shared" si="0"/>
        <v>30</v>
      </c>
      <c r="D22" s="19" t="str">
        <f>IF(B22&lt;=C22,"PASS","FAIL")</f>
        <v>PASS</v>
      </c>
    </row>
    <row r="23" spans="1:4" x14ac:dyDescent="0.2">
      <c r="A23" s="7" t="s">
        <v>27</v>
      </c>
      <c r="B23" s="16">
        <f>B10</f>
        <v>60</v>
      </c>
      <c r="C23" s="16">
        <f>C10</f>
        <v>64</v>
      </c>
      <c r="D23" s="19" t="str">
        <f>IF(B23&lt;=C23,"PASS","FAIL")</f>
        <v>PASS</v>
      </c>
    </row>
    <row r="24" spans="1:4" x14ac:dyDescent="0.2">
      <c r="A24" s="7" t="s">
        <v>28</v>
      </c>
      <c r="B24" s="16">
        <f>B13</f>
        <v>4</v>
      </c>
      <c r="C24" s="16">
        <f>C13</f>
        <v>4</v>
      </c>
      <c r="D24" s="19" t="str">
        <f>IF(B24&lt;=C24,"PASS","FAIL")</f>
        <v>PASS</v>
      </c>
    </row>
    <row r="25" spans="1:4" x14ac:dyDescent="0.2">
      <c r="A25" s="3" t="s">
        <v>29</v>
      </c>
      <c r="D25" s="19" t="str">
        <f>IF(COUNTIF(D20:D24,"PASS")=5,"PASS","FAIL")</f>
        <v>PASS</v>
      </c>
    </row>
    <row r="27" spans="1:4" x14ac:dyDescent="0.2">
      <c r="A27" s="3" t="s">
        <v>30</v>
      </c>
    </row>
    <row r="28" spans="1:4" x14ac:dyDescent="0.2">
      <c r="A28" s="2" t="s">
        <v>31</v>
      </c>
    </row>
    <row r="29" spans="1:4" x14ac:dyDescent="0.2">
      <c r="A29" s="2" t="s">
        <v>32</v>
      </c>
    </row>
    <row r="30" spans="1:4" x14ac:dyDescent="0.2">
      <c r="A30" s="2" t="s">
        <v>33</v>
      </c>
    </row>
    <row r="31" spans="1:4" x14ac:dyDescent="0.2">
      <c r="A31" s="2" t="s">
        <v>34</v>
      </c>
    </row>
    <row r="32" spans="1:4" x14ac:dyDescent="0.2">
      <c r="A32" s="2"/>
    </row>
    <row r="33" spans="1:3" x14ac:dyDescent="0.2">
      <c r="A33" s="2" t="s">
        <v>35</v>
      </c>
    </row>
    <row r="34" spans="1:3" x14ac:dyDescent="0.2">
      <c r="A34" s="2" t="s">
        <v>36</v>
      </c>
    </row>
    <row r="36" spans="1:3" x14ac:dyDescent="0.2">
      <c r="A36" s="3" t="s">
        <v>37</v>
      </c>
    </row>
    <row r="37" spans="1:3" x14ac:dyDescent="0.2">
      <c r="A37" s="13" t="s">
        <v>38</v>
      </c>
      <c r="B37" s="13" t="s">
        <v>39</v>
      </c>
    </row>
    <row r="38" spans="1:3" x14ac:dyDescent="0.2">
      <c r="A38" s="13" t="s">
        <v>40</v>
      </c>
      <c r="B38" s="13" t="s">
        <v>41</v>
      </c>
    </row>
    <row r="39" spans="1:3" x14ac:dyDescent="0.2">
      <c r="A39" s="13" t="s">
        <v>42</v>
      </c>
      <c r="B39" s="13" t="s">
        <v>43</v>
      </c>
    </row>
    <row r="40" spans="1:3" x14ac:dyDescent="0.2">
      <c r="A40" s="13"/>
      <c r="B40" s="13"/>
    </row>
    <row r="41" spans="1:3" x14ac:dyDescent="0.2">
      <c r="A41" s="3" t="s">
        <v>44</v>
      </c>
    </row>
    <row r="42" spans="1:3" x14ac:dyDescent="0.2">
      <c r="A42" s="3" t="s">
        <v>45</v>
      </c>
      <c r="B42" s="3" t="s">
        <v>46</v>
      </c>
      <c r="C42" s="3" t="s">
        <v>20</v>
      </c>
    </row>
    <row r="43" spans="1:3" x14ac:dyDescent="0.2">
      <c r="A43" s="13" t="s">
        <v>43</v>
      </c>
      <c r="B43" s="13" t="s">
        <v>47</v>
      </c>
      <c r="C43" s="13" t="s">
        <v>48</v>
      </c>
    </row>
    <row r="44" spans="1:3" x14ac:dyDescent="0.2">
      <c r="A44" s="13" t="s">
        <v>43</v>
      </c>
      <c r="B44" s="13" t="s">
        <v>49</v>
      </c>
      <c r="C44" s="13" t="s">
        <v>50</v>
      </c>
    </row>
    <row r="45" spans="1:3" x14ac:dyDescent="0.2">
      <c r="A45" s="13" t="s">
        <v>51</v>
      </c>
      <c r="B45" s="13" t="s">
        <v>49</v>
      </c>
      <c r="C45" s="13" t="s">
        <v>52</v>
      </c>
    </row>
    <row r="46" spans="1:3" x14ac:dyDescent="0.2">
      <c r="A46" s="13" t="s">
        <v>53</v>
      </c>
      <c r="B46" s="13" t="s">
        <v>49</v>
      </c>
      <c r="C46" s="13" t="s">
        <v>54</v>
      </c>
    </row>
    <row r="48" spans="1:3" x14ac:dyDescent="0.2">
      <c r="A48" s="2" t="s">
        <v>55</v>
      </c>
    </row>
    <row r="49" spans="1:13" x14ac:dyDescent="0.2">
      <c r="A49" s="2" t="s">
        <v>56</v>
      </c>
    </row>
    <row r="50" spans="1:13" x14ac:dyDescent="0.2">
      <c r="A50" s="2"/>
    </row>
    <row r="51" spans="1:13" x14ac:dyDescent="0.2">
      <c r="A51" s="2" t="s">
        <v>57</v>
      </c>
    </row>
    <row r="52" spans="1:13" x14ac:dyDescent="0.2">
      <c r="A52" s="2" t="s">
        <v>58</v>
      </c>
    </row>
    <row r="53" spans="1:13" x14ac:dyDescent="0.2">
      <c r="A53" s="2"/>
    </row>
    <row r="54" spans="1:13" x14ac:dyDescent="0.2">
      <c r="A54" s="2" t="s">
        <v>59</v>
      </c>
    </row>
    <row r="55" spans="1:13" x14ac:dyDescent="0.2">
      <c r="A55" s="2" t="s">
        <v>60</v>
      </c>
    </row>
    <row r="58" spans="1:13" x14ac:dyDescent="0.2">
      <c r="A58" t="s">
        <v>224</v>
      </c>
    </row>
    <row r="60" spans="1:13" x14ac:dyDescent="0.2">
      <c r="A60" s="37" t="s">
        <v>221</v>
      </c>
      <c r="B60" s="37" t="s">
        <v>213</v>
      </c>
      <c r="C60" s="37" t="s">
        <v>214</v>
      </c>
      <c r="D60" s="37" t="s">
        <v>215</v>
      </c>
      <c r="E60" s="37" t="s">
        <v>216</v>
      </c>
      <c r="F60" s="37" t="s">
        <v>162</v>
      </c>
      <c r="G60" s="37" t="s">
        <v>217</v>
      </c>
      <c r="H60" s="37" t="s">
        <v>163</v>
      </c>
      <c r="I60" s="37" t="s">
        <v>218</v>
      </c>
      <c r="J60" s="37" t="s">
        <v>219</v>
      </c>
      <c r="K60" s="37" t="s">
        <v>220</v>
      </c>
      <c r="L60" s="37" t="s">
        <v>222</v>
      </c>
      <c r="M60" s="37" t="s">
        <v>223</v>
      </c>
    </row>
    <row r="61" spans="1:13" x14ac:dyDescent="0.2">
      <c r="A61" t="s">
        <v>66</v>
      </c>
      <c r="B61">
        <f>BEDS_TOMATO</f>
        <v>10</v>
      </c>
      <c r="C61">
        <f>BEDS_CARROT+1</f>
        <v>21</v>
      </c>
      <c r="D61">
        <f>BEDS_MESCLUN</f>
        <v>30</v>
      </c>
      <c r="E61" s="38">
        <f>B61*HRS_PER_BED_WEEK_TOM*WEEKS*(1+DIM_PCT_TOM)^B61+C61*HRS_PER_BED_WEEK_CAR*WEEKS*(1+DIM_PCT_CAR)^C61+D61*HRS_PER_BED_WEEK_MES*WEEKS*(1+DIM_PCT_MES)^D61</f>
        <v>5352.1828164171739</v>
      </c>
      <c r="F61" s="38">
        <f>MIN(E61,FARMER_FIELD_HRS)*FARMER_RATE+MAX(0,E61-FARMER_FIELD_HRS)*TEMP_RATE</f>
        <v>105419.84056279816</v>
      </c>
      <c r="G61" s="38">
        <f>B61*PRICE_PER_BED_TOM+C61*PRICE_PER_BED_CAR+D61*PRICE_PER_BED_MES</f>
        <v>212974</v>
      </c>
      <c r="H61" s="38">
        <f>B61*FERTILIZER_PER_BED_TOM+C61*FERTILIZER_PER_BED_CAR+D61*FERTILIZER_PER_BED_MES</f>
        <v>44440</v>
      </c>
      <c r="I61" s="38">
        <f>G61-H61-F61-FIXED_COSTS</f>
        <v>43114.159437201844</v>
      </c>
      <c r="J61" s="38">
        <f>I61-SEASON_PROFIT</f>
        <v>352.4947544568422</v>
      </c>
      <c r="K61">
        <f>B61+C61+D61</f>
        <v>61</v>
      </c>
      <c r="L61" s="38">
        <f>MAX(0,E61-FARMER_FIELD_HRS)</f>
        <v>4632.1828164171739</v>
      </c>
      <c r="M61" s="38" t="str">
        <f>IF(AND(K61&lt;=TOTAL_BED_CAP,L61&lt;=MAX_TEMPS*TEMP_HRS_EACH),"PASS","FAIL")</f>
        <v>PASS</v>
      </c>
    </row>
    <row r="62" spans="1:13" x14ac:dyDescent="0.2">
      <c r="A62" t="s">
        <v>67</v>
      </c>
      <c r="B62">
        <f>BEDS_TOMATO</f>
        <v>10</v>
      </c>
      <c r="C62">
        <f>BEDS_CARROT</f>
        <v>20</v>
      </c>
      <c r="D62">
        <f>BEDS_MESCLUN+1</f>
        <v>31</v>
      </c>
      <c r="E62" s="38">
        <f>B62*HRS_PER_BED_WEEK_TOM*WEEKS*(1+DIM_PCT_TOM)^B62+C62*HRS_PER_BED_WEEK_CAR*WEEKS*(1+DIM_PCT_CAR)^C62+D62*HRS_PER_BED_WEEK_MES*WEEKS*(1+DIM_PCT_MES)^D62</f>
        <v>5367.8512234393338</v>
      </c>
      <c r="F62" s="38">
        <f>MIN(E62,FARMER_FIELD_HRS)*FARMER_RATE+MAX(0,E62-FARMER_FIELD_HRS)*TEMP_RATE</f>
        <v>105691.86151804398</v>
      </c>
      <c r="G62" s="38">
        <f>B62*PRICE_PER_BED_TOM+C62*PRICE_PER_BED_CAR+D62*PRICE_PER_BED_MES</f>
        <v>213580</v>
      </c>
      <c r="H62" s="38">
        <f>B62*FERTILIZER_PER_BED_TOM+C62*FERTILIZER_PER_BED_CAR+D62*FERTILIZER_PER_BED_MES</f>
        <v>44880</v>
      </c>
      <c r="I62" s="38">
        <f>G62-H62-F62-FIXED_COSTS</f>
        <v>43008.138481956019</v>
      </c>
      <c r="J62" s="38">
        <f>I62-SEASON_PROFIT</f>
        <v>246.47379921101674</v>
      </c>
      <c r="K62">
        <f>B62+C62+D62</f>
        <v>61</v>
      </c>
      <c r="L62" s="38">
        <f>MAX(0,E62-FARMER_FIELD_HRS)</f>
        <v>4647.8512234393338</v>
      </c>
      <c r="M62" s="38" t="str">
        <f>IF(AND(K62&lt;=TOTAL_BED_CAP,L62&lt;=MAX_TEMPS*TEMP_HRS_EACH),"PASS","FAIL")</f>
        <v>PASS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showGridLines="0" workbookViewId="0"/>
  </sheetViews>
  <sheetFormatPr baseColWidth="10" defaultColWidth="8.83203125" defaultRowHeight="15" x14ac:dyDescent="0.2"/>
  <cols>
    <col min="1" max="1" width="40" customWidth="1"/>
    <col min="2" max="4" width="16" customWidth="1"/>
    <col min="5" max="5" width="52" customWidth="1"/>
  </cols>
  <sheetData>
    <row r="1" spans="1:5" ht="16" customHeight="1" x14ac:dyDescent="0.2">
      <c r="A1" s="1" t="s">
        <v>113</v>
      </c>
    </row>
    <row r="2" spans="1:5" x14ac:dyDescent="0.2">
      <c r="A2" s="2" t="s">
        <v>114</v>
      </c>
    </row>
    <row r="4" spans="1:5" x14ac:dyDescent="0.2">
      <c r="A4" s="3" t="s">
        <v>115</v>
      </c>
    </row>
    <row r="5" spans="1:5" x14ac:dyDescent="0.2">
      <c r="A5" s="13" t="s">
        <v>116</v>
      </c>
      <c r="B5" s="17">
        <f>BEDS_TOMATO*HRS_PER_BED_WEEK_TOM*WEEKS*(1+DIM_PCT_TOM)^BEDS_TOMATO</f>
        <v>2334.3682140900019</v>
      </c>
      <c r="E5" s="2" t="s">
        <v>117</v>
      </c>
    </row>
    <row r="6" spans="1:5" x14ac:dyDescent="0.2">
      <c r="A6" s="13" t="s">
        <v>118</v>
      </c>
      <c r="B6" s="17">
        <f>BEDS_CARROT*HRS_PER_BED_WEEK_CAR*WEEKS*(1+DIM_PCT_CAR)^BEDS_CARROT</f>
        <v>983.16986417423732</v>
      </c>
    </row>
    <row r="7" spans="1:5" x14ac:dyDescent="0.2">
      <c r="A7" s="13" t="s">
        <v>119</v>
      </c>
      <c r="B7" s="17">
        <f>BEDS_MESCLUN*HRS_PER_BED_WEEK_MES*WEEKS*(1+DIM_PCT_MES)^BEDS_MESCLUN</f>
        <v>1959.6780360096488</v>
      </c>
    </row>
    <row r="8" spans="1:5" x14ac:dyDescent="0.2">
      <c r="A8" s="3" t="s">
        <v>120</v>
      </c>
      <c r="B8" s="11">
        <f>SUM(B5:B7)</f>
        <v>5277.2161142738878</v>
      </c>
      <c r="E8" s="2" t="s">
        <v>121</v>
      </c>
    </row>
    <row r="10" spans="1:5" x14ac:dyDescent="0.2">
      <c r="A10" s="3" t="s">
        <v>122</v>
      </c>
    </row>
    <row r="11" spans="1:5" x14ac:dyDescent="0.2">
      <c r="A11" s="13" t="s">
        <v>123</v>
      </c>
      <c r="B11" s="11">
        <f>MIN(TOTAL_LABOR_HRS,FARMER_FIELD_HRS)</f>
        <v>720</v>
      </c>
      <c r="E11" s="2" t="s">
        <v>124</v>
      </c>
    </row>
    <row r="12" spans="1:5" x14ac:dyDescent="0.2">
      <c r="A12" s="13" t="s">
        <v>125</v>
      </c>
      <c r="B12" s="11">
        <f>MAX(0,TOTAL_LABOR_HRS-FARMER_FIELD_HRS)</f>
        <v>4557.2161142738878</v>
      </c>
      <c r="E12" s="2" t="s">
        <v>126</v>
      </c>
    </row>
    <row r="13" spans="1:5" x14ac:dyDescent="0.2">
      <c r="A13" s="13" t="s">
        <v>127</v>
      </c>
      <c r="B13" s="16">
        <f>ROUNDUP(TEMP_HRS_USED/TEMP_HRS_EACH,0)</f>
        <v>4</v>
      </c>
      <c r="E13" s="2" t="s">
        <v>128</v>
      </c>
    </row>
    <row r="15" spans="1:5" x14ac:dyDescent="0.2">
      <c r="A15" s="3" t="s">
        <v>129</v>
      </c>
    </row>
    <row r="16" spans="1:5" x14ac:dyDescent="0.2">
      <c r="A16" s="13" t="s">
        <v>130</v>
      </c>
      <c r="B16" s="20">
        <f>FARMER_HRS_USED*FARMER_RATE</f>
        <v>25000</v>
      </c>
      <c r="E16" s="2" t="s">
        <v>131</v>
      </c>
    </row>
    <row r="17" spans="1:5" x14ac:dyDescent="0.2">
      <c r="A17" s="13" t="s">
        <v>132</v>
      </c>
      <c r="B17" s="20">
        <f>TEMP_HRS_USED*TEMP_RATE</f>
        <v>79118.335317254998</v>
      </c>
      <c r="E17" s="2" t="s">
        <v>133</v>
      </c>
    </row>
    <row r="18" spans="1:5" x14ac:dyDescent="0.2">
      <c r="A18" s="3" t="s">
        <v>134</v>
      </c>
      <c r="B18" s="20">
        <f>FARMER_LABOR_COST+TEMP_LABOR_COST</f>
        <v>104118.335317255</v>
      </c>
    </row>
    <row r="19" spans="1:5" x14ac:dyDescent="0.2">
      <c r="A19" s="13" t="s">
        <v>135</v>
      </c>
      <c r="B19" s="12">
        <f>IF(TOTAL_LABOR_HRS=0,0,TOTAL_LABOR_COST/TOTAL_LABOR_HRS)</f>
        <v>19.729784239010844</v>
      </c>
      <c r="E19" s="2" t="s">
        <v>136</v>
      </c>
    </row>
    <row r="21" spans="1:5" x14ac:dyDescent="0.2">
      <c r="A21" s="3" t="s">
        <v>137</v>
      </c>
    </row>
    <row r="22" spans="1:5" x14ac:dyDescent="0.2">
      <c r="A22" s="2" t="s">
        <v>138</v>
      </c>
    </row>
    <row r="23" spans="1:5" x14ac:dyDescent="0.2">
      <c r="A23" s="13" t="s">
        <v>139</v>
      </c>
      <c r="B23" s="20">
        <f>B5*BLENDED_RATE</f>
        <v>46056.581198400811</v>
      </c>
    </row>
    <row r="24" spans="1:5" x14ac:dyDescent="0.2">
      <c r="A24" s="13" t="s">
        <v>140</v>
      </c>
      <c r="B24" s="20">
        <f>B6*BLENDED_RATE</f>
        <v>19397.7292904553</v>
      </c>
    </row>
    <row r="25" spans="1:5" x14ac:dyDescent="0.2">
      <c r="A25" s="13" t="s">
        <v>141</v>
      </c>
      <c r="B25" s="20">
        <f>B7*BLENDED_RATE</f>
        <v>38664.024828398891</v>
      </c>
    </row>
    <row r="26" spans="1:5" x14ac:dyDescent="0.2">
      <c r="A26" s="13" t="s">
        <v>142</v>
      </c>
      <c r="B26" s="20">
        <f>SUM(B23:B25)</f>
        <v>104118.335317255</v>
      </c>
      <c r="E26" s="2" t="s">
        <v>143</v>
      </c>
    </row>
    <row r="28" spans="1:5" x14ac:dyDescent="0.2">
      <c r="A28" s="3" t="s">
        <v>144</v>
      </c>
    </row>
    <row r="29" spans="1:5" x14ac:dyDescent="0.2">
      <c r="A29" s="13" t="s">
        <v>145</v>
      </c>
      <c r="B29" s="21">
        <f>BEDS_TOMATO*PRICE_PER_BED_TOM+BEDS_CARROT*PRICE_PER_BED_CAR+BEDS_MESCLUN*PRICE_PER_BED_MES</f>
        <v>210880</v>
      </c>
      <c r="E29" s="2" t="s">
        <v>146</v>
      </c>
    </row>
    <row r="30" spans="1:5" x14ac:dyDescent="0.2">
      <c r="A30" s="13" t="s">
        <v>147</v>
      </c>
      <c r="B30" s="21">
        <f>BEDS_TOMATO*FERTILIZER_PER_BED_TOM+BEDS_CARROT*FERTILIZER_PER_BED_CAR+BEDS_MESCLUN*FERTILIZER_PER_BED_MES</f>
        <v>44000</v>
      </c>
      <c r="E30" s="2" t="s">
        <v>148</v>
      </c>
    </row>
    <row r="31" spans="1:5" x14ac:dyDescent="0.2">
      <c r="A31" s="13" t="s">
        <v>149</v>
      </c>
      <c r="B31" s="21">
        <f>FIXED_COSTS</f>
        <v>20000</v>
      </c>
      <c r="E31" s="2" t="s">
        <v>150</v>
      </c>
    </row>
    <row r="32" spans="1:5" x14ac:dyDescent="0.2">
      <c r="A32" s="3" t="s">
        <v>151</v>
      </c>
      <c r="B32" s="20">
        <f>FERTILIZER_COST+TOTAL_LABOR_COST+FIXED_COSTS</f>
        <v>168118.335317255</v>
      </c>
    </row>
    <row r="33" spans="1:5" x14ac:dyDescent="0.2">
      <c r="A33" s="13"/>
    </row>
    <row r="34" spans="1:5" x14ac:dyDescent="0.2">
      <c r="A34" s="3" t="s">
        <v>152</v>
      </c>
      <c r="B34" s="22">
        <f>SEASON_REVENUE-FERTILIZER_COST-TOTAL_LABOR_COST-FIXED_COSTS</f>
        <v>42761.664682745002</v>
      </c>
      <c r="E34" s="2" t="s">
        <v>153</v>
      </c>
    </row>
    <row r="36" spans="1:5" x14ac:dyDescent="0.2">
      <c r="A36" s="3" t="s">
        <v>154</v>
      </c>
    </row>
    <row r="37" spans="1:5" x14ac:dyDescent="0.2">
      <c r="A37" s="13" t="s">
        <v>155</v>
      </c>
      <c r="B37" s="11">
        <f>1*HRS_PER_BED_WEEK_TOM*WEEKS*(1+DIM_PCT_TOM)^1</f>
        <v>99.000000000000014</v>
      </c>
      <c r="E37" s="2" t="s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1"/>
  <sheetViews>
    <sheetView showGridLines="0" tabSelected="1" topLeftCell="Q1" workbookViewId="0">
      <selection activeCell="AB43" sqref="AB43"/>
    </sheetView>
  </sheetViews>
  <sheetFormatPr baseColWidth="10" defaultColWidth="8.83203125" defaultRowHeight="15" x14ac:dyDescent="0.2"/>
  <cols>
    <col min="1" max="1" width="6" customWidth="1"/>
    <col min="2" max="5" width="14" customWidth="1"/>
    <col min="6" max="6" width="16" customWidth="1"/>
    <col min="7" max="7" width="15" customWidth="1"/>
    <col min="8" max="8" width="11" customWidth="1"/>
    <col min="9" max="9" width="15" customWidth="1"/>
    <col min="11" max="11" width="6" customWidth="1"/>
    <col min="12" max="15" width="14" customWidth="1"/>
    <col min="16" max="16" width="16" customWidth="1"/>
    <col min="17" max="17" width="15" customWidth="1"/>
    <col min="18" max="18" width="11" customWidth="1"/>
    <col min="19" max="19" width="15" customWidth="1"/>
    <col min="21" max="21" width="6" customWidth="1"/>
    <col min="22" max="25" width="14" customWidth="1"/>
    <col min="26" max="26" width="16" customWidth="1"/>
    <col min="27" max="27" width="15" customWidth="1"/>
    <col min="28" max="28" width="11" customWidth="1"/>
    <col min="29" max="29" width="15" customWidth="1"/>
  </cols>
  <sheetData>
    <row r="1" spans="1:29" ht="16" customHeight="1" x14ac:dyDescent="0.2">
      <c r="A1" s="1" t="s">
        <v>157</v>
      </c>
    </row>
    <row r="2" spans="1:29" x14ac:dyDescent="0.2">
      <c r="A2" s="2" t="s">
        <v>158</v>
      </c>
    </row>
    <row r="3" spans="1:29" x14ac:dyDescent="0.2">
      <c r="A3" s="2" t="s">
        <v>159</v>
      </c>
    </row>
    <row r="5" spans="1:29" ht="16" customHeight="1" x14ac:dyDescent="0.2">
      <c r="A5" s="1" t="s">
        <v>65</v>
      </c>
      <c r="K5" s="1" t="s">
        <v>66</v>
      </c>
      <c r="U5" s="1" t="s">
        <v>67</v>
      </c>
    </row>
    <row r="6" spans="1:29" x14ac:dyDescent="0.2">
      <c r="A6" s="23" t="s">
        <v>160</v>
      </c>
      <c r="B6" s="23" t="s">
        <v>161</v>
      </c>
      <c r="C6" s="23" t="s">
        <v>162</v>
      </c>
      <c r="D6" s="23" t="s">
        <v>163</v>
      </c>
      <c r="E6" s="23" t="s">
        <v>164</v>
      </c>
      <c r="F6" s="23" t="s">
        <v>165</v>
      </c>
      <c r="G6" s="23" t="s">
        <v>166</v>
      </c>
      <c r="H6" s="23" t="s">
        <v>167</v>
      </c>
      <c r="I6" s="23" t="s">
        <v>168</v>
      </c>
      <c r="K6" s="23" t="s">
        <v>160</v>
      </c>
      <c r="L6" s="23" t="s">
        <v>161</v>
      </c>
      <c r="M6" s="23" t="s">
        <v>162</v>
      </c>
      <c r="N6" s="23" t="s">
        <v>163</v>
      </c>
      <c r="O6" s="23" t="s">
        <v>164</v>
      </c>
      <c r="P6" s="23" t="s">
        <v>165</v>
      </c>
      <c r="Q6" s="23" t="s">
        <v>166</v>
      </c>
      <c r="R6" s="23" t="s">
        <v>167</v>
      </c>
      <c r="S6" s="23" t="s">
        <v>168</v>
      </c>
      <c r="U6" s="23" t="s">
        <v>160</v>
      </c>
      <c r="V6" s="23" t="s">
        <v>161</v>
      </c>
      <c r="W6" s="23" t="s">
        <v>162</v>
      </c>
      <c r="X6" s="23" t="s">
        <v>163</v>
      </c>
      <c r="Y6" s="23" t="s">
        <v>164</v>
      </c>
      <c r="Z6" s="23" t="s">
        <v>165</v>
      </c>
      <c r="AA6" s="23" t="s">
        <v>166</v>
      </c>
      <c r="AB6" s="23" t="s">
        <v>167</v>
      </c>
      <c r="AC6" s="23" t="s">
        <v>168</v>
      </c>
    </row>
    <row r="7" spans="1:29" x14ac:dyDescent="0.2">
      <c r="A7" s="7">
        <v>0</v>
      </c>
      <c r="B7" s="11">
        <f t="shared" ref="B7:B27" si="0">A7*HRS_PER_BED_WEEK_TOM*WEEKS*(1+DIM_PCT_TOM)^A7</f>
        <v>0</v>
      </c>
      <c r="C7" s="20">
        <f t="shared" ref="C7:C27" si="1">MIN(B7,FARMER_FIELD_HRS)*FARMER_RATE+MAX(0,B7-FARMER_FIELD_HRS)*TEMP_RATE</f>
        <v>0</v>
      </c>
      <c r="D7" s="20">
        <f t="shared" ref="D7:D27" si="2">A7*FERTILIZER_PER_BED_TOM</f>
        <v>0</v>
      </c>
      <c r="E7" s="20">
        <f t="shared" ref="E7:E27" si="3">C7+D7</f>
        <v>0</v>
      </c>
      <c r="F7" s="20"/>
      <c r="G7" s="20">
        <f t="shared" ref="G7:G28" si="4">PRICE_PER_BED_TOM</f>
        <v>8800</v>
      </c>
      <c r="H7" s="7"/>
      <c r="I7" s="7">
        <v>1</v>
      </c>
      <c r="K7" s="7">
        <v>0</v>
      </c>
      <c r="L7" s="11">
        <f t="shared" ref="L7:L27" si="5">K7*HRS_PER_BED_WEEK_CAR*WEEKS*(1+DIM_PCT_CAR)^K7</f>
        <v>0</v>
      </c>
      <c r="M7" s="20">
        <f t="shared" ref="M7:M27" si="6">MIN(L7,FARMER_FIELD_HRS)*FARMER_RATE+MAX(0,L7-FARMER_FIELD_HRS)*TEMP_RATE</f>
        <v>0</v>
      </c>
      <c r="N7" s="20">
        <f t="shared" ref="N7:N27" si="7">K7*FERTILIZER_PER_BED_CAR</f>
        <v>0</v>
      </c>
      <c r="O7" s="20">
        <f t="shared" ref="O7:O27" si="8">M7+N7</f>
        <v>0</v>
      </c>
      <c r="P7" s="20"/>
      <c r="Q7" s="20">
        <f t="shared" ref="Q7:Q28" si="9">PRICE_PER_BED_CAR</f>
        <v>2094</v>
      </c>
      <c r="R7" s="7"/>
      <c r="S7" s="7">
        <v>1</v>
      </c>
      <c r="U7" s="7">
        <v>0</v>
      </c>
      <c r="V7" s="11">
        <f t="shared" ref="V7:V37" si="10">U7*HRS_PER_BED_WEEK_MES*WEEKS*(1+DIM_PCT_MES)^U7</f>
        <v>0</v>
      </c>
      <c r="W7" s="20">
        <f t="shared" ref="W7:W37" si="11">MIN(V7,FARMER_FIELD_HRS)*FARMER_RATE+MAX(0,V7-FARMER_FIELD_HRS)*TEMP_RATE</f>
        <v>0</v>
      </c>
      <c r="X7" s="20">
        <f t="shared" ref="X7:X37" si="12">U7*FERTILIZER_PER_BED_MES</f>
        <v>0</v>
      </c>
      <c r="Y7" s="20">
        <f t="shared" ref="Y7:Y37" si="13">W7+X7</f>
        <v>0</v>
      </c>
      <c r="Z7" s="20"/>
      <c r="AA7" s="20">
        <f t="shared" ref="AA7:AA38" si="14">PRICE_PER_BED_MES</f>
        <v>2700</v>
      </c>
      <c r="AB7" s="7"/>
      <c r="AC7" s="7">
        <v>1</v>
      </c>
    </row>
    <row r="8" spans="1:29" x14ac:dyDescent="0.2">
      <c r="A8" s="7">
        <v>1</v>
      </c>
      <c r="B8" s="11">
        <f t="shared" si="0"/>
        <v>99.000000000000014</v>
      </c>
      <c r="C8" s="20">
        <f t="shared" si="1"/>
        <v>3437.5000000000005</v>
      </c>
      <c r="D8" s="20">
        <f t="shared" si="2"/>
        <v>880</v>
      </c>
      <c r="E8" s="20">
        <f t="shared" si="3"/>
        <v>4317.5</v>
      </c>
      <c r="F8" s="20">
        <f t="shared" ref="F8:F27" si="15">E8-E7</f>
        <v>4317.5</v>
      </c>
      <c r="G8" s="20">
        <f t="shared" si="4"/>
        <v>8800</v>
      </c>
      <c r="H8" s="24">
        <f t="shared" ref="H8:H27" si="16">IF(F8&lt;=PRICE_PER_BED_TOM,1,0)</f>
        <v>1</v>
      </c>
      <c r="I8" s="24">
        <f t="shared" ref="I8:I27" si="17">I7*H8</f>
        <v>1</v>
      </c>
      <c r="K8" s="7">
        <v>1</v>
      </c>
      <c r="L8" s="11">
        <f t="shared" si="5"/>
        <v>30.749999999999996</v>
      </c>
      <c r="M8" s="20">
        <f t="shared" si="6"/>
        <v>1067.7083333333333</v>
      </c>
      <c r="N8" s="20">
        <f t="shared" si="7"/>
        <v>440</v>
      </c>
      <c r="O8" s="20">
        <f t="shared" si="8"/>
        <v>1507.7083333333333</v>
      </c>
      <c r="P8" s="20">
        <f t="shared" ref="P8:P27" si="18">O8-O7</f>
        <v>1507.7083333333333</v>
      </c>
      <c r="Q8" s="20">
        <f t="shared" si="9"/>
        <v>2094</v>
      </c>
      <c r="R8" s="24">
        <f t="shared" ref="R8:R27" si="19">IF(P8&lt;=PRICE_PER_BED_CAR,1,0)</f>
        <v>1</v>
      </c>
      <c r="S8" s="24">
        <f t="shared" ref="S8:S27" si="20">S7*R8</f>
        <v>1</v>
      </c>
      <c r="U8" s="7">
        <v>1</v>
      </c>
      <c r="V8" s="11">
        <f t="shared" si="10"/>
        <v>45.5625</v>
      </c>
      <c r="W8" s="20">
        <f t="shared" si="11"/>
        <v>1582.03125</v>
      </c>
      <c r="X8" s="20">
        <f t="shared" si="12"/>
        <v>880</v>
      </c>
      <c r="Y8" s="20">
        <f t="shared" si="13"/>
        <v>2462.03125</v>
      </c>
      <c r="Z8" s="20">
        <f t="shared" ref="Z8:Z37" si="21">Y8-Y7</f>
        <v>2462.03125</v>
      </c>
      <c r="AA8" s="20">
        <f t="shared" si="14"/>
        <v>2700</v>
      </c>
      <c r="AB8" s="24">
        <f t="shared" ref="AB8:AB37" si="22">IF(Z8&lt;=PRICE_PER_BED_MES,1,0)</f>
        <v>1</v>
      </c>
      <c r="AC8" s="24">
        <f t="shared" ref="AC8:AC37" si="23">AC7*AB8</f>
        <v>1</v>
      </c>
    </row>
    <row r="9" spans="1:29" x14ac:dyDescent="0.2">
      <c r="A9" s="7">
        <v>2</v>
      </c>
      <c r="B9" s="11">
        <f t="shared" si="0"/>
        <v>217.80000000000004</v>
      </c>
      <c r="C9" s="20">
        <f t="shared" si="1"/>
        <v>7562.5000000000009</v>
      </c>
      <c r="D9" s="20">
        <f t="shared" si="2"/>
        <v>1760</v>
      </c>
      <c r="E9" s="20">
        <f t="shared" si="3"/>
        <v>9322.5</v>
      </c>
      <c r="F9" s="20">
        <f t="shared" si="15"/>
        <v>5005</v>
      </c>
      <c r="G9" s="20">
        <f t="shared" si="4"/>
        <v>8800</v>
      </c>
      <c r="H9" s="24">
        <f t="shared" si="16"/>
        <v>1</v>
      </c>
      <c r="I9" s="24">
        <f t="shared" si="17"/>
        <v>1</v>
      </c>
      <c r="K9" s="7">
        <v>2</v>
      </c>
      <c r="L9" s="11">
        <f t="shared" si="5"/>
        <v>63.037499999999994</v>
      </c>
      <c r="M9" s="20">
        <f t="shared" si="6"/>
        <v>2188.802083333333</v>
      </c>
      <c r="N9" s="20">
        <f t="shared" si="7"/>
        <v>880</v>
      </c>
      <c r="O9" s="20">
        <f t="shared" si="8"/>
        <v>3068.802083333333</v>
      </c>
      <c r="P9" s="20">
        <f t="shared" si="18"/>
        <v>1561.0937499999998</v>
      </c>
      <c r="Q9" s="20">
        <f t="shared" si="9"/>
        <v>2094</v>
      </c>
      <c r="R9" s="24">
        <f t="shared" si="19"/>
        <v>1</v>
      </c>
      <c r="S9" s="24">
        <f t="shared" si="20"/>
        <v>1</v>
      </c>
      <c r="U9" s="7">
        <v>2</v>
      </c>
      <c r="V9" s="11">
        <f t="shared" si="10"/>
        <v>92.264062499999994</v>
      </c>
      <c r="W9" s="20">
        <f t="shared" si="11"/>
        <v>3203.6132812499995</v>
      </c>
      <c r="X9" s="20">
        <f t="shared" si="12"/>
        <v>1760</v>
      </c>
      <c r="Y9" s="20">
        <f t="shared" si="13"/>
        <v>4963.61328125</v>
      </c>
      <c r="Z9" s="20">
        <f t="shared" si="21"/>
        <v>2501.58203125</v>
      </c>
      <c r="AA9" s="20">
        <f t="shared" si="14"/>
        <v>2700</v>
      </c>
      <c r="AB9" s="24">
        <f t="shared" si="22"/>
        <v>1</v>
      </c>
      <c r="AC9" s="24">
        <f t="shared" si="23"/>
        <v>1</v>
      </c>
    </row>
    <row r="10" spans="1:29" x14ac:dyDescent="0.2">
      <c r="A10" s="7">
        <v>3</v>
      </c>
      <c r="B10" s="11">
        <f t="shared" si="0"/>
        <v>359.37000000000012</v>
      </c>
      <c r="C10" s="20">
        <f t="shared" si="1"/>
        <v>12478.125000000004</v>
      </c>
      <c r="D10" s="20">
        <f t="shared" si="2"/>
        <v>2640</v>
      </c>
      <c r="E10" s="20">
        <f t="shared" si="3"/>
        <v>15118.125000000004</v>
      </c>
      <c r="F10" s="20">
        <f t="shared" si="15"/>
        <v>5795.6250000000036</v>
      </c>
      <c r="G10" s="20">
        <f t="shared" si="4"/>
        <v>8800</v>
      </c>
      <c r="H10" s="24">
        <f t="shared" si="16"/>
        <v>1</v>
      </c>
      <c r="I10" s="24">
        <f t="shared" si="17"/>
        <v>1</v>
      </c>
      <c r="K10" s="7">
        <v>3</v>
      </c>
      <c r="L10" s="11">
        <f t="shared" si="5"/>
        <v>96.920156249999991</v>
      </c>
      <c r="M10" s="20">
        <f t="shared" si="6"/>
        <v>3365.2832031249995</v>
      </c>
      <c r="N10" s="20">
        <f t="shared" si="7"/>
        <v>1320</v>
      </c>
      <c r="O10" s="20">
        <f t="shared" si="8"/>
        <v>4685.283203125</v>
      </c>
      <c r="P10" s="20">
        <f t="shared" si="18"/>
        <v>1616.481119791667</v>
      </c>
      <c r="Q10" s="20">
        <f t="shared" si="9"/>
        <v>2094</v>
      </c>
      <c r="R10" s="24">
        <f t="shared" si="19"/>
        <v>1</v>
      </c>
      <c r="S10" s="24">
        <f t="shared" si="20"/>
        <v>1</v>
      </c>
      <c r="U10" s="7">
        <v>3</v>
      </c>
      <c r="V10" s="11">
        <f t="shared" si="10"/>
        <v>140.12604492187498</v>
      </c>
      <c r="W10" s="20">
        <f t="shared" si="11"/>
        <v>4865.4876708984366</v>
      </c>
      <c r="X10" s="20">
        <f t="shared" si="12"/>
        <v>2640</v>
      </c>
      <c r="Y10" s="20">
        <f t="shared" si="13"/>
        <v>7505.4876708984366</v>
      </c>
      <c r="Z10" s="20">
        <f t="shared" si="21"/>
        <v>2541.8743896484366</v>
      </c>
      <c r="AA10" s="20">
        <f t="shared" si="14"/>
        <v>2700</v>
      </c>
      <c r="AB10" s="24">
        <f t="shared" si="22"/>
        <v>1</v>
      </c>
      <c r="AC10" s="24">
        <f t="shared" si="23"/>
        <v>1</v>
      </c>
    </row>
    <row r="11" spans="1:29" x14ac:dyDescent="0.2">
      <c r="A11" s="7">
        <v>4</v>
      </c>
      <c r="B11" s="11">
        <f t="shared" si="0"/>
        <v>527.07600000000014</v>
      </c>
      <c r="C11" s="20">
        <f t="shared" si="1"/>
        <v>18301.250000000004</v>
      </c>
      <c r="D11" s="20">
        <f t="shared" si="2"/>
        <v>3520</v>
      </c>
      <c r="E11" s="20">
        <f t="shared" si="3"/>
        <v>21821.250000000004</v>
      </c>
      <c r="F11" s="20">
        <f t="shared" si="15"/>
        <v>6703.125</v>
      </c>
      <c r="G11" s="20">
        <f t="shared" si="4"/>
        <v>8800</v>
      </c>
      <c r="H11" s="24">
        <f t="shared" si="16"/>
        <v>1</v>
      </c>
      <c r="I11" s="24">
        <f t="shared" si="17"/>
        <v>1</v>
      </c>
      <c r="K11" s="7">
        <v>4</v>
      </c>
      <c r="L11" s="11">
        <f t="shared" si="5"/>
        <v>132.45754687499996</v>
      </c>
      <c r="M11" s="20">
        <f t="shared" si="6"/>
        <v>4599.2203776041652</v>
      </c>
      <c r="N11" s="20">
        <f t="shared" si="7"/>
        <v>1760</v>
      </c>
      <c r="O11" s="20">
        <f t="shared" si="8"/>
        <v>6359.2203776041652</v>
      </c>
      <c r="P11" s="20">
        <f t="shared" si="18"/>
        <v>1673.9371744791652</v>
      </c>
      <c r="Q11" s="20">
        <f t="shared" si="9"/>
        <v>2094</v>
      </c>
      <c r="R11" s="24">
        <f t="shared" si="19"/>
        <v>1</v>
      </c>
      <c r="S11" s="24">
        <f t="shared" si="20"/>
        <v>1</v>
      </c>
      <c r="U11" s="7">
        <v>4</v>
      </c>
      <c r="V11" s="11">
        <f t="shared" si="10"/>
        <v>189.17016064453125</v>
      </c>
      <c r="W11" s="20">
        <f t="shared" si="11"/>
        <v>6568.4083557128906</v>
      </c>
      <c r="X11" s="20">
        <f t="shared" si="12"/>
        <v>3520</v>
      </c>
      <c r="Y11" s="20">
        <f t="shared" si="13"/>
        <v>10088.408355712891</v>
      </c>
      <c r="Z11" s="20">
        <f t="shared" si="21"/>
        <v>2582.920684814454</v>
      </c>
      <c r="AA11" s="20">
        <f t="shared" si="14"/>
        <v>2700</v>
      </c>
      <c r="AB11" s="24">
        <f t="shared" si="22"/>
        <v>1</v>
      </c>
      <c r="AC11" s="24">
        <f t="shared" si="23"/>
        <v>1</v>
      </c>
    </row>
    <row r="12" spans="1:29" x14ac:dyDescent="0.2">
      <c r="A12" s="7">
        <v>5</v>
      </c>
      <c r="B12" s="11">
        <f t="shared" si="0"/>
        <v>724.72950000000026</v>
      </c>
      <c r="C12" s="20">
        <f t="shared" si="1"/>
        <v>25082.109375000004</v>
      </c>
      <c r="D12" s="20">
        <f t="shared" si="2"/>
        <v>4400</v>
      </c>
      <c r="E12" s="20">
        <f t="shared" si="3"/>
        <v>29482.109375000004</v>
      </c>
      <c r="F12" s="20">
        <f t="shared" si="15"/>
        <v>7660.859375</v>
      </c>
      <c r="G12" s="20">
        <f t="shared" si="4"/>
        <v>8800</v>
      </c>
      <c r="H12" s="24">
        <f t="shared" si="16"/>
        <v>1</v>
      </c>
      <c r="I12" s="24">
        <f t="shared" si="17"/>
        <v>1</v>
      </c>
      <c r="K12" s="7">
        <v>5</v>
      </c>
      <c r="L12" s="11">
        <f t="shared" si="5"/>
        <v>169.71123193359369</v>
      </c>
      <c r="M12" s="20">
        <f t="shared" si="6"/>
        <v>5892.7511088053361</v>
      </c>
      <c r="N12" s="20">
        <f t="shared" si="7"/>
        <v>2200</v>
      </c>
      <c r="O12" s="20">
        <f t="shared" si="8"/>
        <v>8092.7511088053361</v>
      </c>
      <c r="P12" s="20">
        <f t="shared" si="18"/>
        <v>1733.530731201171</v>
      </c>
      <c r="Q12" s="20">
        <f t="shared" si="9"/>
        <v>2094</v>
      </c>
      <c r="R12" s="24">
        <f t="shared" si="19"/>
        <v>1</v>
      </c>
      <c r="S12" s="24">
        <f t="shared" si="20"/>
        <v>1</v>
      </c>
      <c r="U12" s="7">
        <v>5</v>
      </c>
      <c r="V12" s="11">
        <f t="shared" si="10"/>
        <v>239.41848456573481</v>
      </c>
      <c r="W12" s="20">
        <f t="shared" si="11"/>
        <v>8313.1418251991254</v>
      </c>
      <c r="X12" s="20">
        <f t="shared" si="12"/>
        <v>4400</v>
      </c>
      <c r="Y12" s="20">
        <f t="shared" si="13"/>
        <v>12713.141825199125</v>
      </c>
      <c r="Z12" s="20">
        <f t="shared" si="21"/>
        <v>2624.7334694862348</v>
      </c>
      <c r="AA12" s="20">
        <f t="shared" si="14"/>
        <v>2700</v>
      </c>
      <c r="AB12" s="24">
        <f t="shared" si="22"/>
        <v>1</v>
      </c>
      <c r="AC12" s="24">
        <f t="shared" si="23"/>
        <v>1</v>
      </c>
    </row>
    <row r="13" spans="1:29" x14ac:dyDescent="0.2">
      <c r="A13" s="7">
        <v>6</v>
      </c>
      <c r="B13" s="11">
        <f t="shared" si="0"/>
        <v>956.64294000000041</v>
      </c>
      <c r="C13" s="20">
        <f t="shared" si="1"/>
        <v>29108.384375000009</v>
      </c>
      <c r="D13" s="20">
        <f t="shared" si="2"/>
        <v>5280</v>
      </c>
      <c r="E13" s="20">
        <f t="shared" si="3"/>
        <v>34388.384375000009</v>
      </c>
      <c r="F13" s="20">
        <f t="shared" si="15"/>
        <v>4906.2750000000051</v>
      </c>
      <c r="G13" s="20">
        <f t="shared" si="4"/>
        <v>8800</v>
      </c>
      <c r="H13" s="24">
        <f t="shared" si="16"/>
        <v>1</v>
      </c>
      <c r="I13" s="24">
        <f t="shared" si="17"/>
        <v>1</v>
      </c>
      <c r="K13" s="7">
        <v>6</v>
      </c>
      <c r="L13" s="11">
        <f t="shared" si="5"/>
        <v>208.74481527832023</v>
      </c>
      <c r="M13" s="20">
        <f t="shared" si="6"/>
        <v>7248.0838638305631</v>
      </c>
      <c r="N13" s="20">
        <f t="shared" si="7"/>
        <v>2640</v>
      </c>
      <c r="O13" s="20">
        <f t="shared" si="8"/>
        <v>9888.0838638305631</v>
      </c>
      <c r="P13" s="20">
        <f t="shared" si="18"/>
        <v>1795.332755025227</v>
      </c>
      <c r="Q13" s="20">
        <f t="shared" si="9"/>
        <v>2094</v>
      </c>
      <c r="R13" s="24">
        <f t="shared" si="19"/>
        <v>1</v>
      </c>
      <c r="S13" s="24">
        <f t="shared" si="20"/>
        <v>1</v>
      </c>
      <c r="U13" s="7">
        <v>6</v>
      </c>
      <c r="V13" s="11">
        <f t="shared" si="10"/>
        <v>290.89345874736784</v>
      </c>
      <c r="W13" s="20">
        <f t="shared" si="11"/>
        <v>10100.467317616938</v>
      </c>
      <c r="X13" s="20">
        <f t="shared" si="12"/>
        <v>5280</v>
      </c>
      <c r="Y13" s="20">
        <f t="shared" si="13"/>
        <v>15380.467317616938</v>
      </c>
      <c r="Z13" s="20">
        <f t="shared" si="21"/>
        <v>2667.3254924178127</v>
      </c>
      <c r="AA13" s="20">
        <f t="shared" si="14"/>
        <v>2700</v>
      </c>
      <c r="AB13" s="24">
        <f t="shared" si="22"/>
        <v>1</v>
      </c>
      <c r="AC13" s="24">
        <f t="shared" si="23"/>
        <v>1</v>
      </c>
    </row>
    <row r="14" spans="1:29" x14ac:dyDescent="0.2">
      <c r="A14" s="7">
        <v>7</v>
      </c>
      <c r="B14" s="11">
        <f t="shared" si="0"/>
        <v>1227.6917730000007</v>
      </c>
      <c r="C14" s="20">
        <f t="shared" si="1"/>
        <v>33814.09328125001</v>
      </c>
      <c r="D14" s="20">
        <f t="shared" si="2"/>
        <v>6160</v>
      </c>
      <c r="E14" s="20">
        <f t="shared" si="3"/>
        <v>39974.09328125001</v>
      </c>
      <c r="F14" s="20">
        <f t="shared" si="15"/>
        <v>5585.7089062500017</v>
      </c>
      <c r="G14" s="20">
        <f t="shared" si="4"/>
        <v>8800</v>
      </c>
      <c r="H14" s="24">
        <f t="shared" si="16"/>
        <v>1</v>
      </c>
      <c r="I14" s="24">
        <f t="shared" si="17"/>
        <v>1</v>
      </c>
      <c r="K14" s="7">
        <v>7</v>
      </c>
      <c r="L14" s="11">
        <f t="shared" si="5"/>
        <v>249.62400827032465</v>
      </c>
      <c r="M14" s="20">
        <f t="shared" si="6"/>
        <v>8667.50028716405</v>
      </c>
      <c r="N14" s="20">
        <f t="shared" si="7"/>
        <v>3080</v>
      </c>
      <c r="O14" s="20">
        <f t="shared" si="8"/>
        <v>11747.50028716405</v>
      </c>
      <c r="P14" s="20">
        <f t="shared" si="18"/>
        <v>1859.4164233334868</v>
      </c>
      <c r="Q14" s="20">
        <f t="shared" si="9"/>
        <v>2094</v>
      </c>
      <c r="R14" s="24">
        <f t="shared" si="19"/>
        <v>1</v>
      </c>
      <c r="S14" s="24">
        <f t="shared" si="20"/>
        <v>1</v>
      </c>
      <c r="U14" s="7">
        <v>7</v>
      </c>
      <c r="V14" s="11">
        <f t="shared" si="10"/>
        <v>343.61789814532818</v>
      </c>
      <c r="W14" s="20">
        <f t="shared" si="11"/>
        <v>11931.177018935006</v>
      </c>
      <c r="X14" s="20">
        <f t="shared" si="12"/>
        <v>6160</v>
      </c>
      <c r="Y14" s="20">
        <f t="shared" si="13"/>
        <v>18091.177018935006</v>
      </c>
      <c r="Z14" s="20">
        <f t="shared" si="21"/>
        <v>2710.7097013180683</v>
      </c>
      <c r="AA14" s="20">
        <f t="shared" si="14"/>
        <v>2700</v>
      </c>
      <c r="AB14" s="24">
        <f t="shared" si="22"/>
        <v>0</v>
      </c>
      <c r="AC14" s="24">
        <f t="shared" si="23"/>
        <v>0</v>
      </c>
    </row>
    <row r="15" spans="1:29" x14ac:dyDescent="0.2">
      <c r="A15" s="7">
        <v>8</v>
      </c>
      <c r="B15" s="11">
        <f t="shared" si="0"/>
        <v>1543.3839432000009</v>
      </c>
      <c r="C15" s="20">
        <f t="shared" si="1"/>
        <v>39294.860125000014</v>
      </c>
      <c r="D15" s="20">
        <f t="shared" si="2"/>
        <v>7040</v>
      </c>
      <c r="E15" s="20">
        <f t="shared" si="3"/>
        <v>46334.860125000014</v>
      </c>
      <c r="F15" s="20">
        <f t="shared" si="15"/>
        <v>6360.7668437500033</v>
      </c>
      <c r="G15" s="20">
        <f t="shared" si="4"/>
        <v>8800</v>
      </c>
      <c r="H15" s="24">
        <f t="shared" si="16"/>
        <v>1</v>
      </c>
      <c r="I15" s="24">
        <f t="shared" si="17"/>
        <v>1</v>
      </c>
      <c r="K15" s="7">
        <v>8</v>
      </c>
      <c r="L15" s="11">
        <f t="shared" si="5"/>
        <v>292.41669540238024</v>
      </c>
      <c r="M15" s="20">
        <f t="shared" si="6"/>
        <v>10153.357479249315</v>
      </c>
      <c r="N15" s="20">
        <f t="shared" si="7"/>
        <v>3520</v>
      </c>
      <c r="O15" s="20">
        <f t="shared" si="8"/>
        <v>13673.357479249315</v>
      </c>
      <c r="P15" s="20">
        <f t="shared" si="18"/>
        <v>1925.8571920852646</v>
      </c>
      <c r="Q15" s="20">
        <f t="shared" si="9"/>
        <v>2094</v>
      </c>
      <c r="R15" s="24">
        <f t="shared" si="19"/>
        <v>1</v>
      </c>
      <c r="S15" s="24">
        <f t="shared" si="20"/>
        <v>1</v>
      </c>
      <c r="U15" s="7">
        <v>8</v>
      </c>
      <c r="V15" s="11">
        <f t="shared" si="10"/>
        <v>397.61499642530839</v>
      </c>
      <c r="W15" s="20">
        <f t="shared" si="11"/>
        <v>13806.076264767653</v>
      </c>
      <c r="X15" s="20">
        <f t="shared" si="12"/>
        <v>7040</v>
      </c>
      <c r="Y15" s="20">
        <f t="shared" si="13"/>
        <v>20846.076264767653</v>
      </c>
      <c r="Z15" s="20">
        <f t="shared" si="21"/>
        <v>2754.8992458326466</v>
      </c>
      <c r="AA15" s="20">
        <f t="shared" si="14"/>
        <v>2700</v>
      </c>
      <c r="AB15" s="24">
        <f t="shared" si="22"/>
        <v>0</v>
      </c>
      <c r="AC15" s="24">
        <f t="shared" si="23"/>
        <v>0</v>
      </c>
    </row>
    <row r="16" spans="1:29" x14ac:dyDescent="0.2">
      <c r="A16" s="7">
        <v>9</v>
      </c>
      <c r="B16" s="11">
        <f t="shared" si="0"/>
        <v>1909.9376297100011</v>
      </c>
      <c r="C16" s="20">
        <f t="shared" si="1"/>
        <v>45658.639404687521</v>
      </c>
      <c r="D16" s="20">
        <f t="shared" si="2"/>
        <v>7920</v>
      </c>
      <c r="E16" s="20">
        <f t="shared" si="3"/>
        <v>53578.639404687521</v>
      </c>
      <c r="F16" s="20">
        <f t="shared" si="15"/>
        <v>7243.7792796875074</v>
      </c>
      <c r="G16" s="20">
        <f t="shared" si="4"/>
        <v>8800</v>
      </c>
      <c r="H16" s="24">
        <f t="shared" si="16"/>
        <v>1</v>
      </c>
      <c r="I16" s="24">
        <f t="shared" si="17"/>
        <v>1</v>
      </c>
      <c r="K16" s="7">
        <v>9</v>
      </c>
      <c r="L16" s="11">
        <f t="shared" si="5"/>
        <v>337.19300188586965</v>
      </c>
      <c r="M16" s="20">
        <f t="shared" si="6"/>
        <v>11708.090343259362</v>
      </c>
      <c r="N16" s="20">
        <f t="shared" si="7"/>
        <v>3960</v>
      </c>
      <c r="O16" s="20">
        <f t="shared" si="8"/>
        <v>15668.090343259362</v>
      </c>
      <c r="P16" s="20">
        <f t="shared" si="18"/>
        <v>1994.7328640100477</v>
      </c>
      <c r="Q16" s="20">
        <f t="shared" si="9"/>
        <v>2094</v>
      </c>
      <c r="R16" s="24">
        <f t="shared" si="19"/>
        <v>1</v>
      </c>
      <c r="S16" s="24">
        <f t="shared" si="20"/>
        <v>1</v>
      </c>
      <c r="U16" s="7">
        <v>9</v>
      </c>
      <c r="V16" s="11">
        <f t="shared" si="10"/>
        <v>452.90833186570285</v>
      </c>
      <c r="W16" s="20">
        <f t="shared" si="11"/>
        <v>15725.983745336904</v>
      </c>
      <c r="X16" s="20">
        <f t="shared" si="12"/>
        <v>7920</v>
      </c>
      <c r="Y16" s="20">
        <f t="shared" si="13"/>
        <v>23645.983745336904</v>
      </c>
      <c r="Z16" s="20">
        <f t="shared" si="21"/>
        <v>2799.9074805692508</v>
      </c>
      <c r="AA16" s="20">
        <f t="shared" si="14"/>
        <v>2700</v>
      </c>
      <c r="AB16" s="24">
        <f t="shared" si="22"/>
        <v>0</v>
      </c>
      <c r="AC16" s="24">
        <f t="shared" si="23"/>
        <v>0</v>
      </c>
    </row>
    <row r="17" spans="1:29" x14ac:dyDescent="0.2">
      <c r="A17" s="7">
        <v>10</v>
      </c>
      <c r="B17" s="11">
        <f t="shared" si="0"/>
        <v>2334.3682140900019</v>
      </c>
      <c r="C17" s="20">
        <f t="shared" si="1"/>
        <v>53027.225939062533</v>
      </c>
      <c r="D17" s="20">
        <f t="shared" si="2"/>
        <v>8800</v>
      </c>
      <c r="E17" s="20">
        <f t="shared" si="3"/>
        <v>61827.225939062533</v>
      </c>
      <c r="F17" s="20">
        <f t="shared" si="15"/>
        <v>8248.586534375012</v>
      </c>
      <c r="G17" s="20">
        <f t="shared" si="4"/>
        <v>8800</v>
      </c>
      <c r="H17" s="24">
        <f t="shared" si="16"/>
        <v>1</v>
      </c>
      <c r="I17" s="24">
        <f t="shared" si="17"/>
        <v>1</v>
      </c>
      <c r="K17" s="7">
        <v>10</v>
      </c>
      <c r="L17" s="11">
        <f t="shared" si="5"/>
        <v>384.02536325890713</v>
      </c>
      <c r="M17" s="20">
        <f t="shared" si="6"/>
        <v>13334.214002045386</v>
      </c>
      <c r="N17" s="20">
        <f t="shared" si="7"/>
        <v>4400</v>
      </c>
      <c r="O17" s="20">
        <f t="shared" si="8"/>
        <v>17734.214002045388</v>
      </c>
      <c r="P17" s="20">
        <f t="shared" si="18"/>
        <v>2066.1236587860258</v>
      </c>
      <c r="Q17" s="20">
        <f t="shared" si="9"/>
        <v>2094</v>
      </c>
      <c r="R17" s="24">
        <f t="shared" si="19"/>
        <v>1</v>
      </c>
      <c r="S17" s="24">
        <f t="shared" si="20"/>
        <v>1</v>
      </c>
      <c r="U17" s="7">
        <v>10</v>
      </c>
      <c r="V17" s="11">
        <f t="shared" si="10"/>
        <v>509.52187334891573</v>
      </c>
      <c r="W17" s="20">
        <f t="shared" si="11"/>
        <v>17691.731713504018</v>
      </c>
      <c r="X17" s="20">
        <f t="shared" si="12"/>
        <v>8800</v>
      </c>
      <c r="Y17" s="20">
        <f t="shared" si="13"/>
        <v>26491.731713504018</v>
      </c>
      <c r="Z17" s="20">
        <f t="shared" si="21"/>
        <v>2845.7479681671139</v>
      </c>
      <c r="AA17" s="20">
        <f t="shared" si="14"/>
        <v>2700</v>
      </c>
      <c r="AB17" s="24">
        <f t="shared" si="22"/>
        <v>0</v>
      </c>
      <c r="AC17" s="24">
        <f t="shared" si="23"/>
        <v>0</v>
      </c>
    </row>
    <row r="18" spans="1:29" x14ac:dyDescent="0.2">
      <c r="A18" s="7">
        <v>11</v>
      </c>
      <c r="B18" s="11">
        <f t="shared" si="0"/>
        <v>2824.5855390489023</v>
      </c>
      <c r="C18" s="20">
        <f t="shared" si="1"/>
        <v>61537.943386265666</v>
      </c>
      <c r="D18" s="20">
        <f t="shared" si="2"/>
        <v>9680</v>
      </c>
      <c r="E18" s="20">
        <f t="shared" si="3"/>
        <v>71217.943386265659</v>
      </c>
      <c r="F18" s="20">
        <f t="shared" si="15"/>
        <v>9390.7174472031256</v>
      </c>
      <c r="G18" s="20">
        <f t="shared" si="4"/>
        <v>8800</v>
      </c>
      <c r="H18" s="24">
        <f t="shared" si="16"/>
        <v>0</v>
      </c>
      <c r="I18" s="24">
        <f t="shared" si="17"/>
        <v>0</v>
      </c>
      <c r="K18" s="7">
        <v>11</v>
      </c>
      <c r="L18" s="11">
        <f t="shared" si="5"/>
        <v>432.98859707441784</v>
      </c>
      <c r="M18" s="20">
        <f t="shared" si="6"/>
        <v>15034.326287306174</v>
      </c>
      <c r="N18" s="20">
        <f t="shared" si="7"/>
        <v>4840</v>
      </c>
      <c r="O18" s="20">
        <f t="shared" si="8"/>
        <v>19874.326287306176</v>
      </c>
      <c r="P18" s="20">
        <f t="shared" si="18"/>
        <v>2140.1122852607878</v>
      </c>
      <c r="Q18" s="20">
        <f t="shared" si="9"/>
        <v>2094</v>
      </c>
      <c r="R18" s="24">
        <f t="shared" si="19"/>
        <v>0</v>
      </c>
      <c r="S18" s="24">
        <f t="shared" si="20"/>
        <v>0</v>
      </c>
      <c r="U18" s="7">
        <v>11</v>
      </c>
      <c r="V18" s="11">
        <f t="shared" si="10"/>
        <v>567.47998644235474</v>
      </c>
      <c r="W18" s="20">
        <f t="shared" si="11"/>
        <v>19704.166195915095</v>
      </c>
      <c r="X18" s="20">
        <f t="shared" si="12"/>
        <v>9680</v>
      </c>
      <c r="Y18" s="20">
        <f t="shared" si="13"/>
        <v>29384.166195915095</v>
      </c>
      <c r="Z18" s="20">
        <f t="shared" si="21"/>
        <v>2892.4344824110776</v>
      </c>
      <c r="AA18" s="20">
        <f t="shared" si="14"/>
        <v>2700</v>
      </c>
      <c r="AB18" s="24">
        <f t="shared" si="22"/>
        <v>0</v>
      </c>
      <c r="AC18" s="24">
        <f t="shared" si="23"/>
        <v>0</v>
      </c>
    </row>
    <row r="19" spans="1:29" x14ac:dyDescent="0.2">
      <c r="A19" s="7">
        <v>12</v>
      </c>
      <c r="B19" s="11">
        <f t="shared" si="0"/>
        <v>3389.502646858683</v>
      </c>
      <c r="C19" s="20">
        <f t="shared" si="1"/>
        <v>71345.532063518796</v>
      </c>
      <c r="D19" s="20">
        <f t="shared" si="2"/>
        <v>10560</v>
      </c>
      <c r="E19" s="20">
        <f t="shared" si="3"/>
        <v>81905.532063518796</v>
      </c>
      <c r="F19" s="20">
        <f t="shared" si="15"/>
        <v>10687.588677253138</v>
      </c>
      <c r="G19" s="20">
        <f t="shared" si="4"/>
        <v>8800</v>
      </c>
      <c r="H19" s="24">
        <f t="shared" si="16"/>
        <v>0</v>
      </c>
      <c r="I19" s="24">
        <f t="shared" si="17"/>
        <v>0</v>
      </c>
      <c r="K19" s="7">
        <v>12</v>
      </c>
      <c r="L19" s="11">
        <f t="shared" si="5"/>
        <v>484.15997672866712</v>
      </c>
      <c r="M19" s="20">
        <f t="shared" si="6"/>
        <v>16811.11030307872</v>
      </c>
      <c r="N19" s="20">
        <f t="shared" si="7"/>
        <v>5280</v>
      </c>
      <c r="O19" s="20">
        <f t="shared" si="8"/>
        <v>22091.11030307872</v>
      </c>
      <c r="P19" s="20">
        <f t="shared" si="18"/>
        <v>2216.7840157725441</v>
      </c>
      <c r="Q19" s="20">
        <f t="shared" si="9"/>
        <v>2094</v>
      </c>
      <c r="R19" s="24">
        <f t="shared" si="19"/>
        <v>0</v>
      </c>
      <c r="S19" s="24">
        <f t="shared" si="20"/>
        <v>0</v>
      </c>
      <c r="U19" s="7">
        <v>12</v>
      </c>
      <c r="V19" s="11">
        <f t="shared" si="10"/>
        <v>626.80743957041921</v>
      </c>
      <c r="W19" s="20">
        <f t="shared" si="11"/>
        <v>21764.147207306221</v>
      </c>
      <c r="X19" s="20">
        <f t="shared" si="12"/>
        <v>10560</v>
      </c>
      <c r="Y19" s="20">
        <f t="shared" si="13"/>
        <v>32324.147207306221</v>
      </c>
      <c r="Z19" s="20">
        <f t="shared" si="21"/>
        <v>2939.9810113911262</v>
      </c>
      <c r="AA19" s="20">
        <f t="shared" si="14"/>
        <v>2700</v>
      </c>
      <c r="AB19" s="24">
        <f t="shared" si="22"/>
        <v>0</v>
      </c>
      <c r="AC19" s="24">
        <f t="shared" si="23"/>
        <v>0</v>
      </c>
    </row>
    <row r="20" spans="1:29" x14ac:dyDescent="0.2">
      <c r="A20" s="7">
        <v>13</v>
      </c>
      <c r="B20" s="11">
        <f t="shared" si="0"/>
        <v>4039.1573208399304</v>
      </c>
      <c r="C20" s="20">
        <f t="shared" si="1"/>
        <v>82624.259042359903</v>
      </c>
      <c r="D20" s="20">
        <f t="shared" si="2"/>
        <v>11440</v>
      </c>
      <c r="E20" s="20">
        <f t="shared" si="3"/>
        <v>94064.259042359903</v>
      </c>
      <c r="F20" s="20">
        <f t="shared" si="15"/>
        <v>12158.726978841107</v>
      </c>
      <c r="G20" s="20">
        <f t="shared" si="4"/>
        <v>8800</v>
      </c>
      <c r="H20" s="24">
        <f t="shared" si="16"/>
        <v>0</v>
      </c>
      <c r="I20" s="24">
        <f t="shared" si="17"/>
        <v>0</v>
      </c>
      <c r="K20" s="7">
        <v>13</v>
      </c>
      <c r="L20" s="11">
        <f t="shared" si="5"/>
        <v>537.61930749245744</v>
      </c>
      <c r="M20" s="20">
        <f t="shared" si="6"/>
        <v>18667.337065710326</v>
      </c>
      <c r="N20" s="20">
        <f t="shared" si="7"/>
        <v>5720</v>
      </c>
      <c r="O20" s="20">
        <f t="shared" si="8"/>
        <v>24387.337065710326</v>
      </c>
      <c r="P20" s="20">
        <f t="shared" si="18"/>
        <v>2296.2267626316061</v>
      </c>
      <c r="Q20" s="20">
        <f t="shared" si="9"/>
        <v>2094</v>
      </c>
      <c r="R20" s="24">
        <f t="shared" si="19"/>
        <v>0</v>
      </c>
      <c r="S20" s="24">
        <f t="shared" si="20"/>
        <v>0</v>
      </c>
      <c r="U20" s="7">
        <v>13</v>
      </c>
      <c r="V20" s="11">
        <f t="shared" si="10"/>
        <v>687.52941027880343</v>
      </c>
      <c r="W20" s="20">
        <f t="shared" si="11"/>
        <v>23872.548968014009</v>
      </c>
      <c r="X20" s="20">
        <f t="shared" si="12"/>
        <v>11440</v>
      </c>
      <c r="Y20" s="20">
        <f t="shared" si="13"/>
        <v>35312.548968014009</v>
      </c>
      <c r="Z20" s="20">
        <f t="shared" si="21"/>
        <v>2988.4017607077876</v>
      </c>
      <c r="AA20" s="20">
        <f t="shared" si="14"/>
        <v>2700</v>
      </c>
      <c r="AB20" s="24">
        <f t="shared" si="22"/>
        <v>0</v>
      </c>
      <c r="AC20" s="24">
        <f t="shared" si="23"/>
        <v>0</v>
      </c>
    </row>
    <row r="21" spans="1:29" x14ac:dyDescent="0.2">
      <c r="A21" s="7">
        <v>14</v>
      </c>
      <c r="B21" s="11">
        <f t="shared" si="0"/>
        <v>4784.8479031488414</v>
      </c>
      <c r="C21" s="20">
        <f t="shared" si="1"/>
        <v>95570.276096334055</v>
      </c>
      <c r="D21" s="20">
        <f t="shared" si="2"/>
        <v>12320</v>
      </c>
      <c r="E21" s="20">
        <f t="shared" si="3"/>
        <v>107890.27609633406</v>
      </c>
      <c r="F21" s="20">
        <f t="shared" si="15"/>
        <v>13826.017053974152</v>
      </c>
      <c r="G21" s="20">
        <f t="shared" si="4"/>
        <v>8800</v>
      </c>
      <c r="H21" s="24">
        <f t="shared" si="16"/>
        <v>0</v>
      </c>
      <c r="I21" s="24">
        <f t="shared" si="17"/>
        <v>0</v>
      </c>
      <c r="K21" s="7">
        <v>14</v>
      </c>
      <c r="L21" s="11">
        <f t="shared" si="5"/>
        <v>593.44900480898184</v>
      </c>
      <c r="M21" s="20">
        <f t="shared" si="6"/>
        <v>20605.868222534093</v>
      </c>
      <c r="N21" s="20">
        <f t="shared" si="7"/>
        <v>6160</v>
      </c>
      <c r="O21" s="20">
        <f t="shared" si="8"/>
        <v>26765.868222534093</v>
      </c>
      <c r="P21" s="20">
        <f t="shared" si="18"/>
        <v>2378.5311568237667</v>
      </c>
      <c r="Q21" s="20">
        <f t="shared" si="9"/>
        <v>2094</v>
      </c>
      <c r="R21" s="24">
        <f t="shared" si="19"/>
        <v>0</v>
      </c>
      <c r="S21" s="24">
        <f t="shared" si="20"/>
        <v>0</v>
      </c>
      <c r="U21" s="7">
        <v>14</v>
      </c>
      <c r="V21" s="11">
        <f t="shared" si="10"/>
        <v>749.67149159246469</v>
      </c>
      <c r="W21" s="20">
        <f t="shared" si="11"/>
        <v>25515.130062369179</v>
      </c>
      <c r="X21" s="20">
        <f t="shared" si="12"/>
        <v>12320</v>
      </c>
      <c r="Y21" s="20">
        <f t="shared" si="13"/>
        <v>37835.130062369179</v>
      </c>
      <c r="Z21" s="20">
        <f t="shared" si="21"/>
        <v>2522.5810943551696</v>
      </c>
      <c r="AA21" s="20">
        <f t="shared" si="14"/>
        <v>2700</v>
      </c>
      <c r="AB21" s="24">
        <f t="shared" si="22"/>
        <v>1</v>
      </c>
      <c r="AC21" s="24">
        <f t="shared" si="23"/>
        <v>0</v>
      </c>
    </row>
    <row r="22" spans="1:29" x14ac:dyDescent="0.2">
      <c r="A22" s="7">
        <v>15</v>
      </c>
      <c r="B22" s="11">
        <f t="shared" si="0"/>
        <v>5639.2850287111351</v>
      </c>
      <c r="C22" s="20">
        <f t="shared" si="1"/>
        <v>110404.25397067942</v>
      </c>
      <c r="D22" s="20">
        <f t="shared" si="2"/>
        <v>13200</v>
      </c>
      <c r="E22" s="20">
        <f t="shared" si="3"/>
        <v>123604.25397067942</v>
      </c>
      <c r="F22" s="20">
        <f t="shared" si="15"/>
        <v>15713.977874345364</v>
      </c>
      <c r="G22" s="20">
        <f t="shared" si="4"/>
        <v>8800</v>
      </c>
      <c r="H22" s="24">
        <f t="shared" si="16"/>
        <v>0</v>
      </c>
      <c r="I22" s="24">
        <f t="shared" si="17"/>
        <v>0</v>
      </c>
      <c r="K22" s="7">
        <v>15</v>
      </c>
      <c r="L22" s="11">
        <f t="shared" si="5"/>
        <v>651.73417492414967</v>
      </c>
      <c r="M22" s="20">
        <f t="shared" si="6"/>
        <v>22629.658851532975</v>
      </c>
      <c r="N22" s="20">
        <f t="shared" si="7"/>
        <v>6600</v>
      </c>
      <c r="O22" s="20">
        <f t="shared" si="8"/>
        <v>29229.658851532975</v>
      </c>
      <c r="P22" s="20">
        <f t="shared" si="18"/>
        <v>2463.7906289988823</v>
      </c>
      <c r="Q22" s="20">
        <f t="shared" si="9"/>
        <v>2094</v>
      </c>
      <c r="R22" s="24">
        <f t="shared" si="19"/>
        <v>0</v>
      </c>
      <c r="S22" s="24">
        <f t="shared" si="20"/>
        <v>0</v>
      </c>
      <c r="U22" s="7">
        <v>15</v>
      </c>
      <c r="V22" s="11">
        <f t="shared" si="10"/>
        <v>813.25969846861108</v>
      </c>
      <c r="W22" s="20">
        <f t="shared" si="11"/>
        <v>26619.091987302276</v>
      </c>
      <c r="X22" s="20">
        <f t="shared" si="12"/>
        <v>13200</v>
      </c>
      <c r="Y22" s="20">
        <f t="shared" si="13"/>
        <v>39819.091987302279</v>
      </c>
      <c r="Z22" s="20">
        <f t="shared" si="21"/>
        <v>1983.9619249331008</v>
      </c>
      <c r="AA22" s="20">
        <f t="shared" si="14"/>
        <v>2700</v>
      </c>
      <c r="AB22" s="24">
        <f t="shared" si="22"/>
        <v>1</v>
      </c>
      <c r="AC22" s="24">
        <f t="shared" si="23"/>
        <v>0</v>
      </c>
    </row>
    <row r="23" spans="1:29" x14ac:dyDescent="0.2">
      <c r="A23" s="7">
        <v>16</v>
      </c>
      <c r="B23" s="11">
        <f t="shared" si="0"/>
        <v>6616.761100354398</v>
      </c>
      <c r="C23" s="20">
        <f t="shared" si="1"/>
        <v>127374.32465893052</v>
      </c>
      <c r="D23" s="20">
        <f t="shared" si="2"/>
        <v>14080</v>
      </c>
      <c r="E23" s="20">
        <f t="shared" si="3"/>
        <v>141454.32465893053</v>
      </c>
      <c r="F23" s="20">
        <f t="shared" si="15"/>
        <v>17850.070688251115</v>
      </c>
      <c r="G23" s="20">
        <f t="shared" si="4"/>
        <v>8800</v>
      </c>
      <c r="H23" s="24">
        <f t="shared" si="16"/>
        <v>0</v>
      </c>
      <c r="I23" s="24">
        <f t="shared" si="17"/>
        <v>0</v>
      </c>
      <c r="K23" s="7">
        <v>16</v>
      </c>
      <c r="L23" s="11">
        <f t="shared" si="5"/>
        <v>712.5626979170703</v>
      </c>
      <c r="M23" s="20">
        <f t="shared" si="6"/>
        <v>24741.760344342718</v>
      </c>
      <c r="N23" s="20">
        <f t="shared" si="7"/>
        <v>7040</v>
      </c>
      <c r="O23" s="20">
        <f t="shared" si="8"/>
        <v>31781.760344342718</v>
      </c>
      <c r="P23" s="20">
        <f t="shared" si="18"/>
        <v>2552.1014928097429</v>
      </c>
      <c r="Q23" s="20">
        <f t="shared" si="9"/>
        <v>2094</v>
      </c>
      <c r="R23" s="24">
        <f t="shared" si="19"/>
        <v>0</v>
      </c>
      <c r="S23" s="24">
        <f t="shared" si="20"/>
        <v>0</v>
      </c>
      <c r="U23" s="7">
        <v>16</v>
      </c>
      <c r="V23" s="11">
        <f t="shared" si="10"/>
        <v>878.32047434610013</v>
      </c>
      <c r="W23" s="20">
        <f t="shared" si="11"/>
        <v>27748.619346286461</v>
      </c>
      <c r="X23" s="20">
        <f t="shared" si="12"/>
        <v>14080</v>
      </c>
      <c r="Y23" s="20">
        <f t="shared" si="13"/>
        <v>41828.619346286461</v>
      </c>
      <c r="Z23" s="20">
        <f t="shared" si="21"/>
        <v>2009.5273589841818</v>
      </c>
      <c r="AA23" s="20">
        <f t="shared" si="14"/>
        <v>2700</v>
      </c>
      <c r="AB23" s="24">
        <f t="shared" si="22"/>
        <v>1</v>
      </c>
      <c r="AC23" s="24">
        <f t="shared" si="23"/>
        <v>0</v>
      </c>
    </row>
    <row r="24" spans="1:29" x14ac:dyDescent="0.2">
      <c r="A24" s="7">
        <v>17</v>
      </c>
      <c r="B24" s="11">
        <f t="shared" si="0"/>
        <v>7733.3395360392033</v>
      </c>
      <c r="C24" s="20">
        <f t="shared" si="1"/>
        <v>146759.36694512505</v>
      </c>
      <c r="D24" s="20">
        <f t="shared" si="2"/>
        <v>14960</v>
      </c>
      <c r="E24" s="20">
        <f t="shared" si="3"/>
        <v>161719.36694512505</v>
      </c>
      <c r="F24" s="20">
        <f t="shared" si="15"/>
        <v>20265.042286194512</v>
      </c>
      <c r="G24" s="20">
        <f t="shared" si="4"/>
        <v>8800</v>
      </c>
      <c r="H24" s="24">
        <f t="shared" si="16"/>
        <v>0</v>
      </c>
      <c r="I24" s="24">
        <f t="shared" si="17"/>
        <v>0</v>
      </c>
      <c r="K24" s="7">
        <v>17</v>
      </c>
      <c r="L24" s="11">
        <f t="shared" si="5"/>
        <v>776.02531320030937</v>
      </c>
      <c r="M24" s="20">
        <f t="shared" si="6"/>
        <v>25972.66168750537</v>
      </c>
      <c r="N24" s="20">
        <f t="shared" si="7"/>
        <v>7480</v>
      </c>
      <c r="O24" s="20">
        <f t="shared" si="8"/>
        <v>33452.661687505373</v>
      </c>
      <c r="P24" s="20">
        <f t="shared" si="18"/>
        <v>1670.9013431626554</v>
      </c>
      <c r="Q24" s="20">
        <f t="shared" si="9"/>
        <v>2094</v>
      </c>
      <c r="R24" s="24">
        <f t="shared" si="19"/>
        <v>1</v>
      </c>
      <c r="S24" s="24">
        <f t="shared" si="20"/>
        <v>0</v>
      </c>
      <c r="U24" s="7">
        <v>17</v>
      </c>
      <c r="V24" s="11">
        <f t="shared" si="10"/>
        <v>944.88069779264049</v>
      </c>
      <c r="W24" s="20">
        <f t="shared" si="11"/>
        <v>28904.178781122231</v>
      </c>
      <c r="X24" s="20">
        <f t="shared" si="12"/>
        <v>14960</v>
      </c>
      <c r="Y24" s="20">
        <f t="shared" si="13"/>
        <v>43864.178781122231</v>
      </c>
      <c r="Z24" s="20">
        <f t="shared" si="21"/>
        <v>2035.5594348357699</v>
      </c>
      <c r="AA24" s="20">
        <f t="shared" si="14"/>
        <v>2700</v>
      </c>
      <c r="AB24" s="24">
        <f t="shared" si="22"/>
        <v>1</v>
      </c>
      <c r="AC24" s="24">
        <f t="shared" si="23"/>
        <v>0</v>
      </c>
    </row>
    <row r="25" spans="1:29" x14ac:dyDescent="0.2">
      <c r="A25" s="7">
        <v>18</v>
      </c>
      <c r="B25" s="11">
        <f t="shared" si="0"/>
        <v>9007.0660478574246</v>
      </c>
      <c r="C25" s="20">
        <f t="shared" si="1"/>
        <v>168872.67444196917</v>
      </c>
      <c r="D25" s="20">
        <f t="shared" si="2"/>
        <v>15840</v>
      </c>
      <c r="E25" s="20">
        <f t="shared" si="3"/>
        <v>184712.67444196917</v>
      </c>
      <c r="F25" s="20">
        <f t="shared" si="15"/>
        <v>22993.307496844121</v>
      </c>
      <c r="G25" s="20">
        <f t="shared" si="4"/>
        <v>8800</v>
      </c>
      <c r="H25" s="24">
        <f t="shared" si="16"/>
        <v>0</v>
      </c>
      <c r="I25" s="24">
        <f t="shared" si="17"/>
        <v>0</v>
      </c>
      <c r="K25" s="7">
        <v>18</v>
      </c>
      <c r="L25" s="11">
        <f t="shared" si="5"/>
        <v>842.2157075615122</v>
      </c>
      <c r="M25" s="20">
        <f t="shared" si="6"/>
        <v>27121.800478498477</v>
      </c>
      <c r="N25" s="20">
        <f t="shared" si="7"/>
        <v>7920</v>
      </c>
      <c r="O25" s="20">
        <f t="shared" si="8"/>
        <v>35041.800478498481</v>
      </c>
      <c r="P25" s="20">
        <f t="shared" si="18"/>
        <v>1589.1387909931072</v>
      </c>
      <c r="Q25" s="20">
        <f t="shared" si="9"/>
        <v>2094</v>
      </c>
      <c r="R25" s="24">
        <f t="shared" si="19"/>
        <v>1</v>
      </c>
      <c r="S25" s="24">
        <f t="shared" si="20"/>
        <v>0</v>
      </c>
      <c r="U25" s="7">
        <v>18</v>
      </c>
      <c r="V25" s="11">
        <f t="shared" si="10"/>
        <v>1012.9676892512279</v>
      </c>
      <c r="W25" s="20">
        <f t="shared" si="11"/>
        <v>30086.244605056039</v>
      </c>
      <c r="X25" s="20">
        <f t="shared" si="12"/>
        <v>15840</v>
      </c>
      <c r="Y25" s="20">
        <f t="shared" si="13"/>
        <v>45926.244605056039</v>
      </c>
      <c r="Z25" s="20">
        <f t="shared" si="21"/>
        <v>2062.0658239338081</v>
      </c>
      <c r="AA25" s="20">
        <f t="shared" si="14"/>
        <v>2700</v>
      </c>
      <c r="AB25" s="24">
        <f t="shared" si="22"/>
        <v>1</v>
      </c>
      <c r="AC25" s="24">
        <f t="shared" si="23"/>
        <v>0</v>
      </c>
    </row>
    <row r="26" spans="1:29" x14ac:dyDescent="0.2">
      <c r="A26" s="7">
        <v>19</v>
      </c>
      <c r="B26" s="11">
        <f t="shared" si="0"/>
        <v>10458.204466678902</v>
      </c>
      <c r="C26" s="20">
        <f t="shared" si="1"/>
        <v>194066.04976873094</v>
      </c>
      <c r="D26" s="20">
        <f t="shared" si="2"/>
        <v>16720</v>
      </c>
      <c r="E26" s="20">
        <f t="shared" si="3"/>
        <v>210786.04976873094</v>
      </c>
      <c r="F26" s="20">
        <f t="shared" si="15"/>
        <v>26073.375326761772</v>
      </c>
      <c r="G26" s="20">
        <f t="shared" si="4"/>
        <v>8800</v>
      </c>
      <c r="H26" s="24">
        <f t="shared" si="16"/>
        <v>0</v>
      </c>
      <c r="I26" s="24">
        <f t="shared" si="17"/>
        <v>0</v>
      </c>
      <c r="K26" s="7">
        <v>19</v>
      </c>
      <c r="L26" s="11">
        <f t="shared" si="5"/>
        <v>911.23060582002495</v>
      </c>
      <c r="M26" s="20">
        <f t="shared" si="6"/>
        <v>28319.975795486545</v>
      </c>
      <c r="N26" s="20">
        <f t="shared" si="7"/>
        <v>8360</v>
      </c>
      <c r="O26" s="20">
        <f t="shared" si="8"/>
        <v>36679.975795486549</v>
      </c>
      <c r="P26" s="20">
        <f t="shared" si="18"/>
        <v>1638.1753169880685</v>
      </c>
      <c r="Q26" s="20">
        <f t="shared" si="9"/>
        <v>2094</v>
      </c>
      <c r="R26" s="24">
        <f t="shared" si="19"/>
        <v>1</v>
      </c>
      <c r="S26" s="24">
        <f t="shared" si="20"/>
        <v>0</v>
      </c>
      <c r="U26" s="7">
        <v>19</v>
      </c>
      <c r="V26" s="11">
        <f t="shared" si="10"/>
        <v>1082.6092178872495</v>
      </c>
      <c r="W26" s="20">
        <f t="shared" si="11"/>
        <v>31295.298921653637</v>
      </c>
      <c r="X26" s="20">
        <f t="shared" si="12"/>
        <v>16720</v>
      </c>
      <c r="Y26" s="20">
        <f t="shared" si="13"/>
        <v>48015.298921653637</v>
      </c>
      <c r="Z26" s="20">
        <f t="shared" si="21"/>
        <v>2089.0543165975978</v>
      </c>
      <c r="AA26" s="20">
        <f t="shared" si="14"/>
        <v>2700</v>
      </c>
      <c r="AB26" s="24">
        <f t="shared" si="22"/>
        <v>1</v>
      </c>
      <c r="AC26" s="24">
        <f t="shared" si="23"/>
        <v>0</v>
      </c>
    </row>
    <row r="27" spans="1:29" x14ac:dyDescent="0.2">
      <c r="A27" s="7">
        <v>20</v>
      </c>
      <c r="B27" s="11">
        <f t="shared" si="0"/>
        <v>12109.499908786096</v>
      </c>
      <c r="C27" s="20">
        <f t="shared" si="1"/>
        <v>222734.37341642528</v>
      </c>
      <c r="D27" s="20">
        <f t="shared" si="2"/>
        <v>17600</v>
      </c>
      <c r="E27" s="20">
        <f t="shared" si="3"/>
        <v>240334.37341642528</v>
      </c>
      <c r="F27" s="20">
        <f t="shared" si="15"/>
        <v>29548.323647694342</v>
      </c>
      <c r="G27" s="20">
        <f t="shared" si="4"/>
        <v>8800</v>
      </c>
      <c r="H27" s="24">
        <f t="shared" si="16"/>
        <v>0</v>
      </c>
      <c r="I27" s="24">
        <f t="shared" si="17"/>
        <v>0</v>
      </c>
      <c r="K27" s="7">
        <v>20</v>
      </c>
      <c r="L27" s="11">
        <f t="shared" si="5"/>
        <v>983.16986417423732</v>
      </c>
      <c r="M27" s="20">
        <f t="shared" si="6"/>
        <v>29568.921253024953</v>
      </c>
      <c r="N27" s="20">
        <f t="shared" si="7"/>
        <v>8800</v>
      </c>
      <c r="O27" s="20">
        <f t="shared" si="8"/>
        <v>38368.92125302495</v>
      </c>
      <c r="P27" s="20">
        <f t="shared" si="18"/>
        <v>1688.9454575384007</v>
      </c>
      <c r="Q27" s="20">
        <f t="shared" si="9"/>
        <v>2094</v>
      </c>
      <c r="R27" s="24">
        <f t="shared" si="19"/>
        <v>1</v>
      </c>
      <c r="S27" s="24">
        <f t="shared" si="20"/>
        <v>0</v>
      </c>
      <c r="U27" s="7">
        <v>20</v>
      </c>
      <c r="V27" s="11">
        <f t="shared" si="10"/>
        <v>1153.8335085377266</v>
      </c>
      <c r="W27" s="20">
        <f t="shared" si="11"/>
        <v>32531.831745446641</v>
      </c>
      <c r="X27" s="20">
        <f t="shared" si="12"/>
        <v>17600</v>
      </c>
      <c r="Y27" s="20">
        <f t="shared" si="13"/>
        <v>50131.831745446645</v>
      </c>
      <c r="Z27" s="20">
        <f t="shared" si="21"/>
        <v>2116.532823793008</v>
      </c>
      <c r="AA27" s="20">
        <f t="shared" si="14"/>
        <v>2700</v>
      </c>
      <c r="AB27" s="24">
        <f t="shared" si="22"/>
        <v>1</v>
      </c>
      <c r="AC27" s="24">
        <f t="shared" si="23"/>
        <v>0</v>
      </c>
    </row>
    <row r="28" spans="1:29" x14ac:dyDescent="0.2">
      <c r="A28" s="36">
        <v>21</v>
      </c>
      <c r="B28" s="11">
        <f t="shared" ref="B28" si="24">A28*HRS_PER_BED_WEEK_TOM*WEEKS*(1+DIM_PCT_TOM)^A28</f>
        <v>13986.472394647943</v>
      </c>
      <c r="C28" s="20">
        <f t="shared" ref="C28" si="25">MIN(B28,FARMER_FIELD_HRS)*FARMER_RATE+MAX(0,B28-FARMER_FIELD_HRS)*TEMP_RATE</f>
        <v>255320.70129597123</v>
      </c>
      <c r="D28" s="20">
        <f t="shared" ref="D28" si="26">A28*FERTILIZER_PER_BED_TOM</f>
        <v>18480</v>
      </c>
      <c r="E28" s="20">
        <f t="shared" ref="E28" si="27">C28+D28</f>
        <v>273800.70129597123</v>
      </c>
      <c r="F28" s="20">
        <f t="shared" ref="F28" si="28">E28-E27</f>
        <v>33466.327879545948</v>
      </c>
      <c r="G28" s="20">
        <f t="shared" si="4"/>
        <v>8800</v>
      </c>
      <c r="H28" s="24">
        <f t="shared" ref="H28" si="29">IF(F28&lt;=PRICE_PER_BED_TOM,1,0)</f>
        <v>0</v>
      </c>
      <c r="I28" s="24">
        <f t="shared" ref="I28" si="30">I27*H28</f>
        <v>0</v>
      </c>
      <c r="K28" s="36">
        <v>21</v>
      </c>
      <c r="L28" s="11">
        <f t="shared" ref="L28" si="31">K28*HRS_PER_BED_WEEK_CAR*WEEKS*(1+DIM_PCT_CAR)^K28</f>
        <v>1058.1365663175229</v>
      </c>
      <c r="M28" s="20">
        <f t="shared" ref="M28" si="32">MIN(L28,FARMER_FIELD_HRS)*FARMER_RATE+MAX(0,L28-FARMER_FIELD_HRS)*TEMP_RATE</f>
        <v>30870.426498568107</v>
      </c>
      <c r="N28" s="20">
        <f t="shared" ref="N28" si="33">K28*FERTILIZER_PER_BED_CAR</f>
        <v>9240</v>
      </c>
      <c r="O28" s="20">
        <f t="shared" ref="O28" si="34">M28+N28</f>
        <v>40110.426498568107</v>
      </c>
      <c r="P28" s="20">
        <f t="shared" ref="P28" si="35">O28-O27</f>
        <v>1741.5052455431578</v>
      </c>
      <c r="Q28" s="20">
        <f t="shared" si="9"/>
        <v>2094</v>
      </c>
      <c r="R28" s="24">
        <f t="shared" ref="R28" si="36">IF(P28&lt;=PRICE_PER_BED_CAR,1,0)</f>
        <v>1</v>
      </c>
      <c r="S28" s="24">
        <f t="shared" ref="S28" si="37">S27*R28</f>
        <v>0</v>
      </c>
      <c r="U28" s="7">
        <v>21</v>
      </c>
      <c r="V28" s="11">
        <f t="shared" si="10"/>
        <v>1226.6692487641703</v>
      </c>
      <c r="W28" s="20">
        <f t="shared" si="11"/>
        <v>33796.341124377956</v>
      </c>
      <c r="X28" s="20">
        <f t="shared" si="12"/>
        <v>18480</v>
      </c>
      <c r="Y28" s="20">
        <f t="shared" si="13"/>
        <v>52276.341124377956</v>
      </c>
      <c r="Z28" s="20">
        <f t="shared" si="21"/>
        <v>2144.5093789313105</v>
      </c>
      <c r="AA28" s="20">
        <f t="shared" si="14"/>
        <v>2700</v>
      </c>
      <c r="AB28" s="24">
        <f t="shared" si="22"/>
        <v>1</v>
      </c>
      <c r="AC28" s="24">
        <f t="shared" si="23"/>
        <v>0</v>
      </c>
    </row>
    <row r="29" spans="1:29" x14ac:dyDescent="0.2">
      <c r="A29" s="3" t="s">
        <v>169</v>
      </c>
      <c r="F29" s="25">
        <f>SUM(I8:I27)</f>
        <v>10</v>
      </c>
      <c r="K29" s="3" t="s">
        <v>169</v>
      </c>
      <c r="P29" s="25">
        <f>SUM(S8:S27)</f>
        <v>10</v>
      </c>
      <c r="U29" s="7">
        <v>22</v>
      </c>
      <c r="V29" s="11">
        <f t="shared" si="10"/>
        <v>1301.1455960105666</v>
      </c>
      <c r="W29" s="20">
        <f t="shared" si="11"/>
        <v>35089.333264072338</v>
      </c>
      <c r="X29" s="20">
        <f t="shared" si="12"/>
        <v>19360</v>
      </c>
      <c r="Y29" s="20">
        <f t="shared" si="13"/>
        <v>54449.333264072338</v>
      </c>
      <c r="Z29" s="20">
        <f t="shared" si="21"/>
        <v>2172.9921396943828</v>
      </c>
      <c r="AA29" s="20">
        <f t="shared" si="14"/>
        <v>2700</v>
      </c>
      <c r="AB29" s="24">
        <f t="shared" si="22"/>
        <v>1</v>
      </c>
      <c r="AC29" s="24">
        <f t="shared" si="23"/>
        <v>0</v>
      </c>
    </row>
    <row r="30" spans="1:29" x14ac:dyDescent="0.2">
      <c r="A30" s="2" t="s">
        <v>170</v>
      </c>
      <c r="K30" s="2" t="s">
        <v>170</v>
      </c>
      <c r="U30" s="7">
        <v>23</v>
      </c>
      <c r="V30" s="11">
        <f t="shared" si="10"/>
        <v>1377.292184868003</v>
      </c>
      <c r="W30" s="20">
        <f t="shared" si="11"/>
        <v>36411.322653958385</v>
      </c>
      <c r="X30" s="20">
        <f t="shared" si="12"/>
        <v>20240</v>
      </c>
      <c r="Y30" s="20">
        <f t="shared" si="13"/>
        <v>56651.322653958385</v>
      </c>
      <c r="Z30" s="20">
        <f t="shared" si="21"/>
        <v>2201.9893898860464</v>
      </c>
      <c r="AA30" s="20">
        <f t="shared" si="14"/>
        <v>2700</v>
      </c>
      <c r="AB30" s="24">
        <f t="shared" si="22"/>
        <v>1</v>
      </c>
      <c r="AC30" s="24">
        <f t="shared" si="23"/>
        <v>0</v>
      </c>
    </row>
    <row r="31" spans="1:29" x14ac:dyDescent="0.2">
      <c r="A31" s="2" t="s">
        <v>171</v>
      </c>
      <c r="K31" s="2" t="s">
        <v>171</v>
      </c>
      <c r="U31" s="7">
        <v>24</v>
      </c>
      <c r="V31" s="11">
        <f t="shared" si="10"/>
        <v>1455.1391344474989</v>
      </c>
      <c r="W31" s="20">
        <f t="shared" si="11"/>
        <v>37762.832195269075</v>
      </c>
      <c r="X31" s="20">
        <f t="shared" si="12"/>
        <v>21120</v>
      </c>
      <c r="Y31" s="20">
        <f t="shared" si="13"/>
        <v>58882.832195269075</v>
      </c>
      <c r="Z31" s="20">
        <f t="shared" si="21"/>
        <v>2231.5095413106901</v>
      </c>
      <c r="AA31" s="20">
        <f t="shared" si="14"/>
        <v>2700</v>
      </c>
      <c r="AB31" s="24">
        <f t="shared" si="22"/>
        <v>1</v>
      </c>
      <c r="AC31" s="24">
        <f t="shared" si="23"/>
        <v>0</v>
      </c>
    </row>
    <row r="32" spans="1:29" x14ac:dyDescent="0.2">
      <c r="U32" s="7">
        <v>25</v>
      </c>
      <c r="V32" s="11">
        <f t="shared" si="10"/>
        <v>1534.7170558625965</v>
      </c>
      <c r="W32" s="20">
        <f t="shared" si="11"/>
        <v>39144.393330947853</v>
      </c>
      <c r="X32" s="20">
        <f t="shared" si="12"/>
        <v>22000</v>
      </c>
      <c r="Y32" s="20">
        <f t="shared" si="13"/>
        <v>61144.393330947853</v>
      </c>
      <c r="Z32" s="20">
        <f t="shared" si="21"/>
        <v>2261.5611356787776</v>
      </c>
      <c r="AA32" s="20">
        <f t="shared" si="14"/>
        <v>2700</v>
      </c>
      <c r="AB32" s="24">
        <f t="shared" si="22"/>
        <v>1</v>
      </c>
      <c r="AC32" s="24">
        <f t="shared" si="23"/>
        <v>0</v>
      </c>
    </row>
    <row r="33" spans="21:29" x14ac:dyDescent="0.2">
      <c r="U33" s="7">
        <v>26</v>
      </c>
      <c r="V33" s="11">
        <f t="shared" si="10"/>
        <v>1616.0570598233144</v>
      </c>
      <c r="W33" s="20">
        <f t="shared" si="11"/>
        <v>40556.546177488097</v>
      </c>
      <c r="X33" s="20">
        <f t="shared" si="12"/>
        <v>22880</v>
      </c>
      <c r="Y33" s="20">
        <f t="shared" si="13"/>
        <v>63436.546177488097</v>
      </c>
      <c r="Z33" s="20">
        <f t="shared" si="21"/>
        <v>2292.1528465402444</v>
      </c>
      <c r="AA33" s="20">
        <f t="shared" si="14"/>
        <v>2700</v>
      </c>
      <c r="AB33" s="24">
        <f t="shared" si="22"/>
        <v>1</v>
      </c>
      <c r="AC33" s="24">
        <f t="shared" si="23"/>
        <v>0</v>
      </c>
    </row>
    <row r="34" spans="21:29" x14ac:dyDescent="0.2">
      <c r="U34" s="7">
        <v>27</v>
      </c>
      <c r="V34" s="11">
        <f t="shared" si="10"/>
        <v>1699.1907643430709</v>
      </c>
      <c r="W34" s="20">
        <f t="shared" si="11"/>
        <v>41999.839658733865</v>
      </c>
      <c r="X34" s="20">
        <f t="shared" si="12"/>
        <v>23760</v>
      </c>
      <c r="Y34" s="20">
        <f t="shared" si="13"/>
        <v>65759.839658733865</v>
      </c>
      <c r="Z34" s="20">
        <f t="shared" si="21"/>
        <v>2323.2934812457679</v>
      </c>
      <c r="AA34" s="20">
        <f t="shared" si="14"/>
        <v>2700</v>
      </c>
      <c r="AB34" s="24">
        <f t="shared" si="22"/>
        <v>1</v>
      </c>
      <c r="AC34" s="24">
        <f t="shared" si="23"/>
        <v>0</v>
      </c>
    </row>
    <row r="35" spans="21:29" x14ac:dyDescent="0.2">
      <c r="U35" s="7">
        <v>28</v>
      </c>
      <c r="V35" s="11">
        <f t="shared" si="10"/>
        <v>1784.1503025602246</v>
      </c>
      <c r="W35" s="20">
        <f t="shared" si="11"/>
        <v>43474.831641670564</v>
      </c>
      <c r="X35" s="20">
        <f t="shared" si="12"/>
        <v>24640</v>
      </c>
      <c r="Y35" s="20">
        <f t="shared" si="13"/>
        <v>68114.831641670564</v>
      </c>
      <c r="Z35" s="20">
        <f t="shared" si="21"/>
        <v>2354.9919829366991</v>
      </c>
      <c r="AA35" s="20">
        <f t="shared" si="14"/>
        <v>2700</v>
      </c>
      <c r="AB35" s="24">
        <f t="shared" si="22"/>
        <v>1</v>
      </c>
      <c r="AC35" s="24">
        <f t="shared" si="23"/>
        <v>0</v>
      </c>
    </row>
    <row r="36" spans="21:29" x14ac:dyDescent="0.2">
      <c r="U36" s="7">
        <v>29</v>
      </c>
      <c r="V36" s="11">
        <f t="shared" si="10"/>
        <v>1870.9683306758782</v>
      </c>
      <c r="W36" s="20">
        <f t="shared" si="11"/>
        <v>44982.089074233998</v>
      </c>
      <c r="X36" s="20">
        <f t="shared" si="12"/>
        <v>25520</v>
      </c>
      <c r="Y36" s="20">
        <f t="shared" si="13"/>
        <v>70502.089074233998</v>
      </c>
      <c r="Z36" s="20">
        <f t="shared" si="21"/>
        <v>2387.2574325634341</v>
      </c>
      <c r="AA36" s="20">
        <f t="shared" si="14"/>
        <v>2700</v>
      </c>
      <c r="AB36" s="24">
        <f t="shared" si="22"/>
        <v>1</v>
      </c>
      <c r="AC36" s="24">
        <f t="shared" si="23"/>
        <v>0</v>
      </c>
    </row>
    <row r="37" spans="21:29" x14ac:dyDescent="0.2">
      <c r="U37" s="7">
        <v>30</v>
      </c>
      <c r="V37" s="11">
        <f t="shared" si="10"/>
        <v>1959.6780360096488</v>
      </c>
      <c r="W37" s="20">
        <f t="shared" si="11"/>
        <v>46522.188125167515</v>
      </c>
      <c r="X37" s="20">
        <f t="shared" si="12"/>
        <v>26400</v>
      </c>
      <c r="Y37" s="20">
        <f t="shared" si="13"/>
        <v>72922.188125167508</v>
      </c>
      <c r="Z37" s="20">
        <f t="shared" si="21"/>
        <v>2420.0990509335097</v>
      </c>
      <c r="AA37" s="20">
        <f t="shared" si="14"/>
        <v>2700</v>
      </c>
      <c r="AB37" s="24">
        <f t="shared" si="22"/>
        <v>1</v>
      </c>
      <c r="AC37" s="24">
        <f t="shared" si="23"/>
        <v>0</v>
      </c>
    </row>
    <row r="38" spans="21:29" x14ac:dyDescent="0.2">
      <c r="U38" s="36">
        <v>31</v>
      </c>
      <c r="V38" s="11">
        <f t="shared" ref="V38" si="38">U38*HRS_PER_BED_WEEK_MES*WEEKS*(1+DIM_PCT_MES)^U38</f>
        <v>2050.3131451750946</v>
      </c>
      <c r="W38" s="20">
        <f t="shared" ref="W38" si="39">MIN(V38,FARMER_FIELD_HRS)*FARMER_RATE+MAX(0,V38-FARMER_FIELD_HRS)*TEMP_RATE</f>
        <v>48095.714325956505</v>
      </c>
      <c r="X38" s="20">
        <f t="shared" ref="X38" si="40">U38*FERTILIZER_PER_BED_MES</f>
        <v>27280</v>
      </c>
      <c r="Y38" s="20">
        <f t="shared" ref="Y38" si="41">W38+X38</f>
        <v>75375.714325956505</v>
      </c>
      <c r="Z38" s="20">
        <f t="shared" ref="Z38" si="42">Y38-Y37</f>
        <v>2453.5262007889978</v>
      </c>
      <c r="AA38" s="20">
        <f t="shared" si="14"/>
        <v>2700</v>
      </c>
      <c r="AB38" s="24">
        <f t="shared" ref="AB38" si="43">IF(Z38&lt;=PRICE_PER_BED_MES,1,0)</f>
        <v>1</v>
      </c>
      <c r="AC38" s="24">
        <f t="shared" ref="AC38" si="44">AC37*AB38</f>
        <v>0</v>
      </c>
    </row>
    <row r="39" spans="21:29" x14ac:dyDescent="0.2">
      <c r="U39" s="3" t="s">
        <v>169</v>
      </c>
      <c r="Z39" s="25">
        <f>SUM(AC8:AC37)</f>
        <v>6</v>
      </c>
    </row>
    <row r="40" spans="21:29" x14ac:dyDescent="0.2">
      <c r="U40" s="2" t="s">
        <v>170</v>
      </c>
    </row>
    <row r="41" spans="21:29" x14ac:dyDescent="0.2">
      <c r="U41" s="2" t="s">
        <v>171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8"/>
  <sheetViews>
    <sheetView showGridLines="0" workbookViewId="0"/>
  </sheetViews>
  <sheetFormatPr baseColWidth="10" defaultColWidth="8.83203125" defaultRowHeight="15" x14ac:dyDescent="0.2"/>
  <cols>
    <col min="1" max="1" width="52" customWidth="1"/>
    <col min="2" max="3" width="22" customWidth="1"/>
    <col min="4" max="4" width="10" customWidth="1"/>
    <col min="5" max="5" width="54" customWidth="1"/>
  </cols>
  <sheetData>
    <row r="1" spans="1:5" ht="16" customHeight="1" x14ac:dyDescent="0.2">
      <c r="A1" s="1" t="s">
        <v>172</v>
      </c>
    </row>
    <row r="2" spans="1:5" x14ac:dyDescent="0.2">
      <c r="A2" s="2" t="s">
        <v>173</v>
      </c>
    </row>
    <row r="4" spans="1:5" x14ac:dyDescent="0.2">
      <c r="A4" s="4" t="s">
        <v>174</v>
      </c>
      <c r="B4" s="4" t="s">
        <v>175</v>
      </c>
      <c r="C4" s="4" t="s">
        <v>176</v>
      </c>
      <c r="D4" s="4" t="s">
        <v>23</v>
      </c>
      <c r="E4" s="4" t="s">
        <v>177</v>
      </c>
    </row>
    <row r="5" spans="1:5" x14ac:dyDescent="0.2">
      <c r="A5" s="7" t="s">
        <v>178</v>
      </c>
      <c r="B5" s="16">
        <f>10</f>
        <v>10</v>
      </c>
      <c r="C5" s="15">
        <f>BEDS_TOMATO</f>
        <v>10</v>
      </c>
      <c r="D5" s="19" t="str">
        <f>IF(C5=B5,"PASS","FAIL")</f>
        <v>PASS</v>
      </c>
      <c r="E5" s="2" t="s">
        <v>179</v>
      </c>
    </row>
    <row r="6" spans="1:5" x14ac:dyDescent="0.2">
      <c r="A6" s="7" t="s">
        <v>180</v>
      </c>
      <c r="B6" s="16">
        <f>20</f>
        <v>20</v>
      </c>
      <c r="C6" s="15">
        <f>BEDS_CARROT</f>
        <v>20</v>
      </c>
      <c r="D6" s="19" t="str">
        <f>IF(C6=B6,"PASS","FAIL")</f>
        <v>PASS</v>
      </c>
      <c r="E6" s="2" t="s">
        <v>179</v>
      </c>
    </row>
    <row r="7" spans="1:5" x14ac:dyDescent="0.2">
      <c r="A7" s="7" t="s">
        <v>181</v>
      </c>
      <c r="B7" s="16">
        <f>30</f>
        <v>30</v>
      </c>
      <c r="C7" s="15">
        <f>BEDS_MESCLUN</f>
        <v>30</v>
      </c>
      <c r="D7" s="19" t="str">
        <f>IF(C7=B7,"PASS","FAIL")</f>
        <v>PASS</v>
      </c>
      <c r="E7" s="2" t="s">
        <v>179</v>
      </c>
    </row>
    <row r="8" spans="1:5" x14ac:dyDescent="0.2">
      <c r="A8" s="7" t="s">
        <v>10</v>
      </c>
      <c r="B8" s="16">
        <f>60</f>
        <v>60</v>
      </c>
      <c r="C8" s="15">
        <f>BEDS_TOMATO+BEDS_CARROT+BEDS_MESCLUN</f>
        <v>60</v>
      </c>
      <c r="D8" s="19" t="str">
        <f>IF(C8=B8,"PASS","FAIL")</f>
        <v>PASS</v>
      </c>
      <c r="E8" s="2" t="s">
        <v>182</v>
      </c>
    </row>
    <row r="9" spans="1:5" x14ac:dyDescent="0.2">
      <c r="A9" s="7" t="s">
        <v>18</v>
      </c>
      <c r="B9" s="20">
        <f>42762</f>
        <v>42762</v>
      </c>
      <c r="C9" s="21">
        <f>SEASON_PROFIT</f>
        <v>42761.664682745002</v>
      </c>
      <c r="D9" s="19" t="str">
        <f>IF(ABS(C9-B9)&lt;=5,"PASS","FAIL")</f>
        <v>PASS</v>
      </c>
      <c r="E9" s="2" t="s">
        <v>183</v>
      </c>
    </row>
    <row r="10" spans="1:5" x14ac:dyDescent="0.2">
      <c r="A10" s="7" t="s">
        <v>184</v>
      </c>
      <c r="B10" s="16">
        <f>10</f>
        <v>10</v>
      </c>
      <c r="C10" s="15">
        <f>PMC_TOM</f>
        <v>10</v>
      </c>
      <c r="D10" s="19" t="str">
        <f>IF(ABS(C10-B10)&lt;=1,"PASS","FAIL")</f>
        <v>PASS</v>
      </c>
      <c r="E10" s="2" t="s">
        <v>185</v>
      </c>
    </row>
    <row r="11" spans="1:5" x14ac:dyDescent="0.2">
      <c r="A11" s="7" t="s">
        <v>186</v>
      </c>
      <c r="B11" s="16">
        <f>10</f>
        <v>10</v>
      </c>
      <c r="C11" s="15">
        <f>PMC_CAR</f>
        <v>10</v>
      </c>
      <c r="D11" s="19" t="str">
        <f>IF(ABS(C11-B11)&lt;=1,"PASS","FAIL")</f>
        <v>PASS</v>
      </c>
      <c r="E11" s="2" t="s">
        <v>185</v>
      </c>
    </row>
    <row r="12" spans="1:5" x14ac:dyDescent="0.2">
      <c r="A12" s="7" t="s">
        <v>187</v>
      </c>
      <c r="B12" s="16">
        <f>6</f>
        <v>6</v>
      </c>
      <c r="C12" s="15">
        <f>PMC_MES</f>
        <v>6</v>
      </c>
      <c r="D12" s="19" t="str">
        <f>IF(ABS(C12-B12)&lt;=1,"PASS","FAIL")</f>
        <v>PASS</v>
      </c>
      <c r="E12" s="2" t="s">
        <v>185</v>
      </c>
    </row>
    <row r="13" spans="1:5" x14ac:dyDescent="0.2">
      <c r="A13" s="7" t="s">
        <v>188</v>
      </c>
      <c r="B13" s="11">
        <f>99</f>
        <v>99</v>
      </c>
      <c r="C13" s="17">
        <f>HAND_CHECK_Q1</f>
        <v>99.000000000000014</v>
      </c>
      <c r="D13" s="19" t="str">
        <f>IF(ABS(C13-B13)&lt;=0.01,"PASS","FAIL")</f>
        <v>PASS</v>
      </c>
      <c r="E13" s="2" t="s">
        <v>189</v>
      </c>
    </row>
    <row r="14" spans="1:5" x14ac:dyDescent="0.2">
      <c r="A14" s="7" t="s">
        <v>190</v>
      </c>
      <c r="B14" s="20">
        <f>CostStructure!B18</f>
        <v>104118.335317255</v>
      </c>
      <c r="C14" s="21">
        <f>CostStructure!B26</f>
        <v>104118.335317255</v>
      </c>
      <c r="D14" s="19" t="str">
        <f>IF(ABS(C14-B14)&lt;=0.01,"PASS","FAIL")</f>
        <v>PASS</v>
      </c>
      <c r="E14" s="2" t="s">
        <v>191</v>
      </c>
    </row>
    <row r="15" spans="1:5" x14ac:dyDescent="0.2">
      <c r="A15" s="7" t="s">
        <v>192</v>
      </c>
      <c r="B15" s="16">
        <f>MAX_TEMPS</f>
        <v>4</v>
      </c>
      <c r="C15" s="15">
        <f>TEMPS_REQUIRED</f>
        <v>4</v>
      </c>
      <c r="D15" s="19" t="str">
        <f>IF(C15&lt;=B15,"PASS","FAIL")</f>
        <v>PASS</v>
      </c>
      <c r="E15" s="2" t="s">
        <v>193</v>
      </c>
    </row>
    <row r="16" spans="1:5" x14ac:dyDescent="0.2">
      <c r="A16" s="7" t="s">
        <v>194</v>
      </c>
      <c r="B16" s="7" t="str">
        <f>"PASS"</f>
        <v>PASS</v>
      </c>
      <c r="C16" s="26" t="str">
        <f>CONSTRAINTS_ALL</f>
        <v>PASS</v>
      </c>
      <c r="D16" s="19" t="str">
        <f>IF(C16=B16,"PASS","FAIL")</f>
        <v>PASS</v>
      </c>
      <c r="E16" s="2" t="s">
        <v>195</v>
      </c>
    </row>
    <row r="17" spans="1:5" x14ac:dyDescent="0.2">
      <c r="A17" s="30" t="s">
        <v>196</v>
      </c>
      <c r="B17" s="31">
        <f>2334.368214</f>
        <v>2334.3682140000001</v>
      </c>
      <c r="C17" s="32">
        <f>MCSchedules!B17</f>
        <v>2334.3682140900019</v>
      </c>
      <c r="D17" s="33" t="str">
        <f>IF(ABS(C17-B17)&lt;=0.001,"PASS","FAIL")</f>
        <v>PASS</v>
      </c>
      <c r="E17" s="29" t="s">
        <v>197</v>
      </c>
    </row>
    <row r="18" spans="1:5" x14ac:dyDescent="0.2">
      <c r="A18" s="30" t="s">
        <v>198</v>
      </c>
      <c r="B18" s="34">
        <f>5586</f>
        <v>5586</v>
      </c>
      <c r="C18" s="35">
        <f>MCSchedules!F14</f>
        <v>5585.7089062500017</v>
      </c>
      <c r="D18" s="33" t="str">
        <f>IF(ABS(C18-B18)&lt;=1,"PASS","FAIL")</f>
        <v>PASS</v>
      </c>
      <c r="E18" s="29" t="s">
        <v>199</v>
      </c>
    </row>
    <row r="19" spans="1:5" x14ac:dyDescent="0.2">
      <c r="A19" s="30" t="s">
        <v>225</v>
      </c>
      <c r="B19" s="34">
        <f>352</f>
        <v>352</v>
      </c>
      <c r="C19" s="35">
        <f>SHADOW_CAR</f>
        <v>352.4947544568422</v>
      </c>
      <c r="D19" s="33" t="str">
        <f>IF(ABS(C19-B19)&lt;=5,"PASS","FAIL")</f>
        <v>PASS</v>
      </c>
      <c r="E19" s="29" t="s">
        <v>229</v>
      </c>
    </row>
    <row r="20" spans="1:5" x14ac:dyDescent="0.2">
      <c r="A20" s="30" t="s">
        <v>226</v>
      </c>
      <c r="B20" s="34">
        <f>246</f>
        <v>246</v>
      </c>
      <c r="C20" s="35">
        <f>SHADOW_MES</f>
        <v>246.47379921101674</v>
      </c>
      <c r="D20" s="33" t="str">
        <f>IF(ABS(C20-B20)&lt;=5,"PASS","FAIL")</f>
        <v>PASS</v>
      </c>
      <c r="E20" s="29" t="s">
        <v>229</v>
      </c>
    </row>
    <row r="21" spans="1:5" x14ac:dyDescent="0.2">
      <c r="A21" s="30" t="s">
        <v>227</v>
      </c>
      <c r="B21" s="39">
        <f>PRICE_PER_BED_CAR-MCSchedules!P28</f>
        <v>352.49475445684226</v>
      </c>
      <c r="C21" s="35">
        <f>SHADOW_CAR</f>
        <v>352.4947544568422</v>
      </c>
      <c r="D21" s="33" t="str">
        <f>IF(ABS(C21-B21)&lt;=1,"PASS","FAIL")</f>
        <v>PASS</v>
      </c>
      <c r="E21" s="29" t="s">
        <v>230</v>
      </c>
    </row>
    <row r="22" spans="1:5" x14ac:dyDescent="0.2">
      <c r="A22" s="30" t="s">
        <v>228</v>
      </c>
      <c r="B22" s="39">
        <f>PRICE_PER_BED_MES-MCSchedules!Z38</f>
        <v>246.47379921100023</v>
      </c>
      <c r="C22" s="35">
        <f>SHADOW_MES</f>
        <v>246.47379921101674</v>
      </c>
      <c r="D22" s="33" t="str">
        <f>IF(ABS(C22-B22)&lt;=1,"PASS","FAIL")</f>
        <v>PASS</v>
      </c>
      <c r="E22" s="29" t="s">
        <v>230</v>
      </c>
    </row>
    <row r="24" spans="1:5" x14ac:dyDescent="0.2">
      <c r="A24" s="3" t="s">
        <v>200</v>
      </c>
    </row>
    <row r="25" spans="1:5" x14ac:dyDescent="0.2">
      <c r="A25" s="2" t="s">
        <v>201</v>
      </c>
    </row>
    <row r="26" spans="1:5" x14ac:dyDescent="0.2">
      <c r="A26" s="2" t="s">
        <v>202</v>
      </c>
    </row>
    <row r="27" spans="1:5" x14ac:dyDescent="0.2">
      <c r="A27" s="2" t="s">
        <v>203</v>
      </c>
    </row>
    <row r="28" spans="1:5" x14ac:dyDescent="0.2">
      <c r="A28" s="2" t="s">
        <v>204</v>
      </c>
    </row>
    <row r="30" spans="1:5" x14ac:dyDescent="0.2">
      <c r="A30" s="3" t="s">
        <v>205</v>
      </c>
    </row>
    <row r="31" spans="1:5" x14ac:dyDescent="0.2">
      <c r="A31" s="4" t="s">
        <v>206</v>
      </c>
      <c r="B31" s="4" t="s">
        <v>65</v>
      </c>
      <c r="C31" s="4" t="s">
        <v>66</v>
      </c>
      <c r="D31" s="4" t="s">
        <v>67</v>
      </c>
      <c r="E31" s="4" t="s">
        <v>18</v>
      </c>
    </row>
    <row r="32" spans="1:5" x14ac:dyDescent="0.2">
      <c r="A32" s="7" t="s">
        <v>207</v>
      </c>
      <c r="B32" s="27">
        <v>10</v>
      </c>
      <c r="C32" s="27">
        <v>20</v>
      </c>
      <c r="D32" s="27">
        <v>30</v>
      </c>
      <c r="E32" s="28">
        <f>SEASON_PROFIT</f>
        <v>42761.664682745002</v>
      </c>
    </row>
    <row r="33" spans="1:5" x14ac:dyDescent="0.2">
      <c r="A33" s="7" t="s">
        <v>208</v>
      </c>
      <c r="B33" s="27">
        <v>10</v>
      </c>
      <c r="C33" s="27">
        <v>20</v>
      </c>
      <c r="D33" s="27">
        <v>30</v>
      </c>
      <c r="E33" s="28">
        <f>SEASON_PROFIT</f>
        <v>42761.664682745002</v>
      </c>
    </row>
    <row r="35" spans="1:5" x14ac:dyDescent="0.2">
      <c r="A35" s="29" t="s">
        <v>209</v>
      </c>
    </row>
    <row r="36" spans="1:5" x14ac:dyDescent="0.2">
      <c r="A36" s="29" t="s">
        <v>210</v>
      </c>
    </row>
    <row r="37" spans="1:5" x14ac:dyDescent="0.2">
      <c r="A37" s="29" t="s">
        <v>211</v>
      </c>
    </row>
    <row r="38" spans="1:5" x14ac:dyDescent="0.2">
      <c r="A38" s="29" t="s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48</vt:i4>
      </vt:variant>
    </vt:vector>
  </HeadingPairs>
  <TitlesOfParts>
    <vt:vector size="53" baseType="lpstr">
      <vt:lpstr>Inputs</vt:lpstr>
      <vt:lpstr>Optimization</vt:lpstr>
      <vt:lpstr>CostStructure</vt:lpstr>
      <vt:lpstr>MCSchedules</vt:lpstr>
      <vt:lpstr>Checks</vt:lpstr>
      <vt:lpstr>BEDS_CARROT</vt:lpstr>
      <vt:lpstr>BEDS_MESCLUN</vt:lpstr>
      <vt:lpstr>BEDS_TOMATO</vt:lpstr>
      <vt:lpstr>BLENDED_RATE</vt:lpstr>
      <vt:lpstr>CONSTRAINTS_ALL</vt:lpstr>
      <vt:lpstr>DIM_PCT_CAR</vt:lpstr>
      <vt:lpstr>DIM_PCT_MES</vt:lpstr>
      <vt:lpstr>DIM_PCT_TOM</vt:lpstr>
      <vt:lpstr>FARMER_FIELD_HRS</vt:lpstr>
      <vt:lpstr>FARMER_HRS_USED</vt:lpstr>
      <vt:lpstr>FARMER_LABOR_COST</vt:lpstr>
      <vt:lpstr>FARMER_RATE</vt:lpstr>
      <vt:lpstr>FARMER_SALARY</vt:lpstr>
      <vt:lpstr>FARMER_SEASON_HRS</vt:lpstr>
      <vt:lpstr>FERTILIZER_COST</vt:lpstr>
      <vt:lpstr>FERTILIZER_PER_BED_CAR</vt:lpstr>
      <vt:lpstr>FERTILIZER_PER_BED_MES</vt:lpstr>
      <vt:lpstr>FERTILIZER_PER_BED_TOM</vt:lpstr>
      <vt:lpstr>FIXED_COSTS</vt:lpstr>
      <vt:lpstr>HAND_CHECK_Q1</vt:lpstr>
      <vt:lpstr>HRS_PER_BED_WEEK_CAR</vt:lpstr>
      <vt:lpstr>HRS_PER_BED_WEEK_MES</vt:lpstr>
      <vt:lpstr>HRS_PER_BED_WEEK_TOM</vt:lpstr>
      <vt:lpstr>MAX_BEDS_CAR</vt:lpstr>
      <vt:lpstr>MAX_BEDS_MES</vt:lpstr>
      <vt:lpstr>MAX_BEDS_TOM</vt:lpstr>
      <vt:lpstr>MAX_TEMPS</vt:lpstr>
      <vt:lpstr>PMC_CAR</vt:lpstr>
      <vt:lpstr>PMC_MES</vt:lpstr>
      <vt:lpstr>PMC_TOM</vt:lpstr>
      <vt:lpstr>PRICE_PER_BED_CAR</vt:lpstr>
      <vt:lpstr>PRICE_PER_BED_MES</vt:lpstr>
      <vt:lpstr>PRICE_PER_BED_TOM</vt:lpstr>
      <vt:lpstr>SEASON_PROFIT</vt:lpstr>
      <vt:lpstr>SEASON_REVENUE</vt:lpstr>
      <vt:lpstr>SHADOW_CAR</vt:lpstr>
      <vt:lpstr>SHADOW_MES</vt:lpstr>
      <vt:lpstr>TEMP_COST_EACH</vt:lpstr>
      <vt:lpstr>TEMP_HRS_EACH</vt:lpstr>
      <vt:lpstr>TEMP_HRS_USED</vt:lpstr>
      <vt:lpstr>TEMP_LABOR_COST</vt:lpstr>
      <vt:lpstr>TEMP_RATE</vt:lpstr>
      <vt:lpstr>TEMPS_REQUIRED</vt:lpstr>
      <vt:lpstr>TOTAL_BED_CAP</vt:lpstr>
      <vt:lpstr>TOTAL_COST_SEASON</vt:lpstr>
      <vt:lpstr>TOTAL_LABOR_COST</vt:lpstr>
      <vt:lpstr>TOTAL_LABOR_HRS</vt:lpstr>
      <vt:lpstr>WEEKS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Barnes</cp:lastModifiedBy>
  <dcterms:created xsi:type="dcterms:W3CDTF">2026-09-01T18:35:55Z</dcterms:created>
  <dcterms:modified xsi:type="dcterms:W3CDTF">2026-09-10T06:09:05Z</dcterms:modified>
</cp:coreProperties>
</file>