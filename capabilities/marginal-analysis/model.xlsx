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Optimization" sheetId="2" state="visible" r:id="rId2"/>
    <sheet name="Cost structure" sheetId="3" state="visible" r:id="rId3"/>
    <sheet name="MC schedules" sheetId="4" state="visible" r:id="rId4"/>
    <sheet name="Checks" sheetId="5" state="visible" r:id="rId5"/>
  </sheets>
  <definedNames>
    <definedName name="MAX_BEDS_TOM">'Inputs'!$B$6</definedName>
    <definedName name="MAX_BEDS_CAR">'Inputs'!$C$6</definedName>
    <definedName name="MAX_BEDS_MES">'Inputs'!$D$6</definedName>
    <definedName name="PRICE_PER_BED_TOM">'Inputs'!$B$7</definedName>
    <definedName name="PRICE_PER_BED_CAR">'Inputs'!$C$7</definedName>
    <definedName name="PRICE_PER_BED_MES">'Inputs'!$D$7</definedName>
    <definedName name="HRS_PER_BED_WEEK_TOM">'Inputs'!$B$8</definedName>
    <definedName name="HRS_PER_BED_WEEK_CAR">'Inputs'!$C$8</definedName>
    <definedName name="HRS_PER_BED_WEEK_MES">'Inputs'!$D$8</definedName>
    <definedName name="FERTILIZER_PER_BED_TOM">'Inputs'!$B$9</definedName>
    <definedName name="FERTILIZER_PER_BED_CAR">'Inputs'!$C$9</definedName>
    <definedName name="FERTILIZER_PER_BED_MES">'Inputs'!$D$9</definedName>
    <definedName name="DIM_PCT_TOM">'Inputs'!$B$10</definedName>
    <definedName name="DIM_PCT_CAR">'Inputs'!$C$10</definedName>
    <definedName name="DIM_PCT_MES">'Inputs'!$D$10</definedName>
    <definedName name="WEEKS">'Inputs'!$B$14</definedName>
    <definedName name="FIXED_COSTS">'Inputs'!$B$15</definedName>
    <definedName name="TOTAL_BED_CAP">'Inputs'!$B$16</definedName>
    <definedName name="FARMER_SALARY">'Inputs'!$B$17</definedName>
    <definedName name="FARMER_FIELD_HRS">'Inputs'!$B$18</definedName>
    <definedName name="FARMER_SEASON_HRS">'Inputs'!$B$19</definedName>
    <definedName name="FARMER_RATE">'Inputs'!$B$20</definedName>
    <definedName name="TEMP_COST_EACH">'Inputs'!$B$21</definedName>
    <definedName name="TEMP_HRS_EACH">'Inputs'!$B$22</definedName>
    <definedName name="TEMP_RATE">'Inputs'!$B$23</definedName>
    <definedName name="MAX_TEMPS">'Inputs'!$B$24</definedName>
    <definedName name="BEDS_TOMATO">'Optimization'!$B$5</definedName>
    <definedName name="BEDS_CARROT">'Optimization'!$B$6</definedName>
    <definedName name="BEDS_MESCLUN">'Optimization'!$B$7</definedName>
    <definedName name="SEASON_PROFIT_OBJ">'Optimization'!$B$10</definedName>
    <definedName name="CONSTRAINTS_ALL">'Optimization'!$D$19</definedName>
    <definedName name="TOTAL_LABOR_HRS">'Cost structure'!$B$8</definedName>
    <definedName name="FARMER_HRS_USED">'Cost structure'!$B$11</definedName>
    <definedName name="TEMP_HRS_USED">'Cost structure'!$B$12</definedName>
    <definedName name="TEMPS_REQUIRED">'Cost structure'!$B$13</definedName>
    <definedName name="FARMER_LABOR_COST">'Cost structure'!$B$16</definedName>
    <definedName name="TEMP_LABOR_COST">'Cost structure'!$B$17</definedName>
    <definedName name="TOTAL_LABOR_COST">'Cost structure'!$B$18</definedName>
    <definedName name="BLENDED_RATE">'Cost structure'!$B$19</definedName>
    <definedName name="SEASON_REVENUE">'Cost structure'!$B$29</definedName>
    <definedName name="FERTILIZER_COST">'Cost structure'!$B$30</definedName>
    <definedName name="TOTAL_COST_SEASON">'Cost structure'!$B$32</definedName>
    <definedName name="SEASON_PROFIT">'Cost structure'!$B$34</definedName>
    <definedName name="HAND_CHECK_Q1">'Cost structure'!$B$37</definedName>
    <definedName name="PMC_TOM">'MC schedules'!$F$29</definedName>
    <definedName name="PMC_CAR">'MC schedules'!$P$29</definedName>
    <definedName name="PMC_MES">'MC schedules'!$Z$39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;(#,##0.0);-"/>
    <numFmt numFmtId="165" formatCode="$#,##0;($#,##0);-"/>
    <numFmt numFmtId="166" formatCode="0.000%"/>
    <numFmt numFmtId="167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pivotButton="0" quotePrefix="0" xfId="0"/>
    <xf numFmtId="0" fontId="3" fillId="0" borderId="1" pivotButton="0" quotePrefix="0" xfId="0"/>
    <xf numFmtId="164" fontId="4" fillId="0" borderId="1" pivotButton="0" quotePrefix="0" xfId="0"/>
    <xf numFmtId="0" fontId="5" fillId="0" borderId="1" pivotButton="0" quotePrefix="0" xfId="0"/>
    <xf numFmtId="0" fontId="2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4" fontId="5" fillId="0" borderId="1" pivotButton="0" quotePrefix="0" xfId="0"/>
    <xf numFmtId="167" fontId="5" fillId="0" borderId="1" pivotButton="0" quotePrefix="0" xfId="0"/>
    <xf numFmtId="0" fontId="5" fillId="0" borderId="0" pivotButton="0" quotePrefix="0" xfId="0"/>
    <xf numFmtId="3" fontId="4" fillId="3" borderId="1" pivotButton="0" quotePrefix="0" xfId="0"/>
    <xf numFmtId="165" fontId="6" fillId="0" borderId="1" pivotButton="0" quotePrefix="0" xfId="0"/>
    <xf numFmtId="3" fontId="5" fillId="0" borderId="1" pivotButton="0" quotePrefix="0" xfId="0"/>
    <xf numFmtId="0" fontId="3" fillId="0" borderId="1" applyAlignment="1" pivotButton="0" quotePrefix="0" xfId="0">
      <alignment horizontal="center"/>
    </xf>
    <xf numFmtId="164" fontId="6" fillId="0" borderId="1" pivotButton="0" quotePrefix="0" xfId="0"/>
    <xf numFmtId="165" fontId="5" fillId="0" borderId="1" pivotButton="0" quotePrefix="0" xfId="0"/>
    <xf numFmtId="165" fontId="3" fillId="0" borderId="1" pivotButton="0" quotePrefix="0" xfId="0"/>
    <xf numFmtId="0" fontId="3" fillId="2" borderId="1" applyAlignment="1" pivotButton="0" quotePrefix="0" xfId="0">
      <alignment horizontal="center" wrapText="1"/>
    </xf>
    <xf numFmtId="1" fontId="5" fillId="0" borderId="1" pivotButton="0" quotePrefix="0" xfId="0"/>
    <xf numFmtId="3" fontId="3" fillId="0" borderId="1" pivotButton="0" quotePrefix="0" xfId="0"/>
    <xf numFmtId="3" fontId="6" fillId="0" borderId="1" pivotButton="0" quotePrefix="0" xfId="0"/>
    <xf numFmtId="0" fontId="6" fillId="0" borderId="1" pivotButton="0" quotePrefix="0" xfId="0"/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30" customWidth="1" min="5" max="5"/>
    <col width="46" customWidth="1" min="6" max="6"/>
  </cols>
  <sheetData>
    <row r="1">
      <c r="A1" s="1" t="inlineStr">
        <is>
          <t>Marginal Analysis Model — Inputs</t>
        </is>
      </c>
    </row>
    <row r="2">
      <c r="A2" s="2" t="inlineStr">
        <is>
          <t>Every value below is a named range. Blue = hardcoded input from the case. Black = derived.</t>
        </is>
      </c>
    </row>
    <row r="4">
      <c r="A4" s="3" t="inlineStr">
        <is>
          <t>Per-crop inputs</t>
        </is>
      </c>
    </row>
    <row r="5">
      <c r="A5" s="4" t="inlineStr">
        <is>
          <t>Name</t>
        </is>
      </c>
      <c r="B5" s="4" t="inlineStr">
        <is>
          <t>Tomatoes</t>
        </is>
      </c>
      <c r="C5" s="4" t="inlineStr">
        <is>
          <t>Carrots</t>
        </is>
      </c>
      <c r="D5" s="4" t="inlineStr">
        <is>
          <t>Mesclun</t>
        </is>
      </c>
      <c r="E5" s="4" t="inlineStr">
        <is>
          <t>Unit</t>
        </is>
      </c>
      <c r="F5" s="4" t="inlineStr">
        <is>
          <t>Source</t>
        </is>
      </c>
    </row>
    <row r="6">
      <c r="A6" s="5" t="inlineStr">
        <is>
          <t>MAX_BEDS</t>
        </is>
      </c>
      <c r="B6" s="6" t="n">
        <v>20</v>
      </c>
      <c r="C6" s="6" t="n">
        <v>20</v>
      </c>
      <c r="D6" s="6" t="n">
        <v>30</v>
      </c>
      <c r="E6" s="7" t="inlineStr">
        <is>
          <t>beds</t>
        </is>
      </c>
      <c r="F6" s="8" t="inlineStr">
        <is>
          <t>Case scenario table</t>
        </is>
      </c>
    </row>
    <row r="7">
      <c r="A7" s="5" t="inlineStr">
        <is>
          <t>PRICE_PER_BED</t>
        </is>
      </c>
      <c r="B7" s="9" t="n">
        <v>8800</v>
      </c>
      <c r="C7" s="9" t="n">
        <v>2094</v>
      </c>
      <c r="D7" s="9" t="n">
        <v>2700</v>
      </c>
      <c r="E7" s="7" t="inlineStr">
        <is>
          <t>$ per bed per season</t>
        </is>
      </c>
      <c r="F7" s="8" t="inlineStr">
        <is>
          <t>Case scenario table — "Price $/bed"</t>
        </is>
      </c>
    </row>
    <row r="8">
      <c r="A8" s="5" t="inlineStr">
        <is>
          <t>HRS_PER_BED_WEEK</t>
        </is>
      </c>
      <c r="B8" s="6" t="n">
        <v>2.5</v>
      </c>
      <c r="C8" s="6" t="n">
        <v>0.8333333333333334</v>
      </c>
      <c r="D8" s="6" t="n">
        <v>1.25</v>
      </c>
      <c r="E8" s="7" t="inlineStr">
        <is>
          <t>hours per bed per week</t>
        </is>
      </c>
      <c r="F8" s="8" t="inlineStr">
        <is>
          <t>Case scenario; carrots shown as 0.833, stored as 5/6</t>
        </is>
      </c>
    </row>
    <row r="9">
      <c r="A9" s="5" t="inlineStr">
        <is>
          <t>FERTILIZER_PER_BED</t>
        </is>
      </c>
      <c r="B9" s="9" t="n">
        <v>880</v>
      </c>
      <c r="C9" s="9" t="n">
        <v>440</v>
      </c>
      <c r="D9" s="9" t="n">
        <v>880</v>
      </c>
      <c r="E9" s="7" t="inlineStr">
        <is>
          <t>$ per bed</t>
        </is>
      </c>
      <c r="F9" s="8" t="inlineStr">
        <is>
          <t>Case scenario table</t>
        </is>
      </c>
    </row>
    <row r="10">
      <c r="A10" s="5" t="inlineStr">
        <is>
          <t>DIM_PCT</t>
        </is>
      </c>
      <c r="B10" s="10" t="n">
        <v>0.1</v>
      </c>
      <c r="C10" s="10" t="n">
        <v>0.025</v>
      </c>
      <c r="D10" s="10" t="n">
        <v>0.0125</v>
      </c>
      <c r="E10" s="7" t="inlineStr">
        <is>
          <t>fraction per added bed</t>
        </is>
      </c>
      <c r="F10" s="8" t="inlineStr">
        <is>
          <t>Case scenario — "Diminishing returns"</t>
        </is>
      </c>
    </row>
    <row r="12">
      <c r="A12" s="3" t="inlineStr">
        <is>
          <t>Farm-level inputs</t>
        </is>
      </c>
    </row>
    <row r="13">
      <c r="A13" s="4" t="inlineStr">
        <is>
          <t>Name</t>
        </is>
      </c>
      <c r="B13" s="4" t="inlineStr">
        <is>
          <t>Value</t>
        </is>
      </c>
      <c r="C13" s="4" t="inlineStr"/>
      <c r="D13" s="4" t="inlineStr"/>
      <c r="E13" s="4" t="inlineStr">
        <is>
          <t>Unit</t>
        </is>
      </c>
      <c r="F13" s="4" t="inlineStr">
        <is>
          <t>Source</t>
        </is>
      </c>
    </row>
    <row r="14">
      <c r="A14" s="5" t="inlineStr">
        <is>
          <t>WEEKS</t>
        </is>
      </c>
      <c r="B14" s="6" t="n">
        <v>36</v>
      </c>
      <c r="E14" s="7" t="inlineStr">
        <is>
          <t>weeks per season</t>
        </is>
      </c>
      <c r="F14" s="8" t="inlineStr">
        <is>
          <t>Case scenario</t>
        </is>
      </c>
    </row>
    <row r="15">
      <c r="A15" s="5" t="inlineStr">
        <is>
          <t>FIXED_COSTS</t>
        </is>
      </c>
      <c r="B15" s="9" t="n">
        <v>20000</v>
      </c>
      <c r="E15" s="7" t="inlineStr">
        <is>
          <t>$ per season</t>
        </is>
      </c>
      <c r="F15" s="8" t="inlineStr">
        <is>
          <t>Case scenario</t>
        </is>
      </c>
    </row>
    <row r="16">
      <c r="A16" s="5" t="inlineStr">
        <is>
          <t>TOTAL_BED_CAP</t>
        </is>
      </c>
      <c r="B16" s="6" t="n">
        <v>64</v>
      </c>
      <c r="E16" s="7" t="inlineStr">
        <is>
          <t>beds (16 beds x 4 plots)</t>
        </is>
      </c>
      <c r="F16" s="8" t="inlineStr">
        <is>
          <t>Case scenario</t>
        </is>
      </c>
    </row>
    <row r="17">
      <c r="A17" s="5" t="inlineStr">
        <is>
          <t>FARMER_SALARY</t>
        </is>
      </c>
      <c r="B17" s="9" t="n">
        <v>50000</v>
      </c>
      <c r="E17" s="7" t="inlineStr">
        <is>
          <t>$ per season</t>
        </is>
      </c>
      <c r="F17" s="8" t="inlineStr">
        <is>
          <t>Case scenario</t>
        </is>
      </c>
    </row>
    <row r="18">
      <c r="A18" s="5" t="inlineStr">
        <is>
          <t>FARMER_FIELD_HRS</t>
        </is>
      </c>
      <c r="B18" s="6" t="n">
        <v>720</v>
      </c>
      <c r="E18" s="7" t="inlineStr">
        <is>
          <t>hours per season</t>
        </is>
      </c>
      <c r="F18" s="8" t="inlineStr">
        <is>
          <t>Case scenario — half her time in the field</t>
        </is>
      </c>
    </row>
    <row r="19">
      <c r="A19" s="5" t="inlineStr">
        <is>
          <t>FARMER_SEASON_HRS</t>
        </is>
      </c>
      <c r="B19" s="11">
        <f>2*FARMER_FIELD_HRS</f>
        <v/>
      </c>
      <c r="E19" s="7" t="inlineStr">
        <is>
          <t>hours per season</t>
        </is>
      </c>
      <c r="F19" s="8" t="inlineStr">
        <is>
          <t>Derived: 2 x FARMER_FIELD_HRS</t>
        </is>
      </c>
    </row>
    <row r="20">
      <c r="A20" s="5" t="inlineStr">
        <is>
          <t>FARMER_RATE</t>
        </is>
      </c>
      <c r="B20" s="12">
        <f>FARMER_SALARY/FARMER_SEASON_HRS</f>
        <v/>
      </c>
      <c r="E20" s="7" t="inlineStr">
        <is>
          <t>$ per hour</t>
        </is>
      </c>
      <c r="F20" s="8" t="inlineStr">
        <is>
          <t>Derived: FARMER_SALARY / FARMER_SEASON_HRS (the case's implied $34.72)</t>
        </is>
      </c>
    </row>
    <row r="21">
      <c r="A21" s="5" t="inlineStr">
        <is>
          <t>TEMP_COST_EACH</t>
        </is>
      </c>
      <c r="B21" s="9" t="n">
        <v>25000</v>
      </c>
      <c r="E21" s="7" t="inlineStr">
        <is>
          <t>$ per worker per season</t>
        </is>
      </c>
      <c r="F21" s="8" t="inlineStr">
        <is>
          <t>Case scenario</t>
        </is>
      </c>
    </row>
    <row r="22">
      <c r="A22" s="5" t="inlineStr">
        <is>
          <t>TEMP_HRS_EACH</t>
        </is>
      </c>
      <c r="B22" s="6" t="n">
        <v>1440</v>
      </c>
      <c r="E22" s="7" t="inlineStr">
        <is>
          <t>hours per worker per season</t>
        </is>
      </c>
      <c r="F22" s="8" t="inlineStr">
        <is>
          <t>Case scenario</t>
        </is>
      </c>
    </row>
    <row r="23">
      <c r="A23" s="5" t="inlineStr">
        <is>
          <t>TEMP_RATE</t>
        </is>
      </c>
      <c r="B23" s="12">
        <f>TEMP_COST_EACH/TEMP_HRS_EACH</f>
        <v/>
      </c>
      <c r="E23" s="7" t="inlineStr">
        <is>
          <t>$ per hour</t>
        </is>
      </c>
      <c r="F23" s="8" t="inlineStr">
        <is>
          <t>Derived: TEMP_COST_EACH / TEMP_HRS_EACH (the case's $17.36)</t>
        </is>
      </c>
    </row>
    <row r="24">
      <c r="A24" s="5" t="inlineStr">
        <is>
          <t>MAX_TEMPS</t>
        </is>
      </c>
      <c r="B24" s="6" t="n">
        <v>4</v>
      </c>
      <c r="E24" s="7" t="inlineStr">
        <is>
          <t>workers</t>
        </is>
      </c>
      <c r="F24" s="8" t="inlineStr">
        <is>
          <t>Case scenario</t>
        </is>
      </c>
    </row>
    <row r="26">
      <c r="A26" s="3" t="inlineStr">
        <is>
          <t>Legend</t>
        </is>
      </c>
    </row>
    <row r="27">
      <c r="A27" s="2" t="inlineStr">
        <is>
          <t>Blue text = hardcoded input from the case scenario. Do not edit unless the case changes.</t>
        </is>
      </c>
    </row>
    <row r="28">
      <c r="A28" s="2" t="inlineStr">
        <is>
          <t>Black text = formula. Green text = link to another sheet. Yellow fill = cell you set.</t>
        </is>
      </c>
    </row>
    <row r="29">
      <c r="A29" s="2" t="inlineStr">
        <is>
          <t>The three bed counts are the only cells you change by hand; they live on the Optimization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4" customWidth="1" min="3" max="3"/>
    <col width="52" customWidth="1" min="4" max="4"/>
  </cols>
  <sheetData>
    <row r="1">
      <c r="A1" s="1" t="inlineStr">
        <is>
          <t>Optimization</t>
        </is>
      </c>
    </row>
    <row r="2">
      <c r="A2" s="2" t="inlineStr">
        <is>
          <t>Solver changing cells are B5:B7. Set them to 0/0/0 or 20/0/0 before each Solver run.</t>
        </is>
      </c>
    </row>
    <row r="4">
      <c r="A4" s="3" t="inlineStr">
        <is>
          <t>Decision variables</t>
        </is>
      </c>
    </row>
    <row r="5">
      <c r="A5" s="13" t="inlineStr">
        <is>
          <t>Tomato beds</t>
        </is>
      </c>
      <c r="B5" s="14" t="n">
        <v>0</v>
      </c>
      <c r="D5" s="2" t="inlineStr">
        <is>
          <t>Integer, at least 0, at most MAX_BEDS_TOM</t>
        </is>
      </c>
    </row>
    <row r="6">
      <c r="A6" s="13" t="inlineStr">
        <is>
          <t>Carrot beds</t>
        </is>
      </c>
      <c r="B6" s="14" t="n">
        <v>0</v>
      </c>
      <c r="D6" s="2" t="inlineStr">
        <is>
          <t>Integer, at least 0, at most MAX_BEDS_CAR</t>
        </is>
      </c>
    </row>
    <row r="7">
      <c r="A7" s="13" t="inlineStr">
        <is>
          <t>Mesclun beds</t>
        </is>
      </c>
      <c r="B7" s="14" t="n">
        <v>0</v>
      </c>
      <c r="D7" s="2" t="inlineStr">
        <is>
          <t>Integer, at least 0, at most MAX_BEDS_MES</t>
        </is>
      </c>
    </row>
    <row r="9">
      <c r="A9" s="3" t="inlineStr">
        <is>
          <t>Objective</t>
        </is>
      </c>
    </row>
    <row r="10">
      <c r="A10" s="13" t="inlineStr">
        <is>
          <t>Season profit  (maximize)</t>
        </is>
      </c>
      <c r="B10" s="15">
        <f>SEASON_PROFIT</f>
        <v/>
      </c>
    </row>
    <row r="12">
      <c r="A12" s="3" t="inlineStr">
        <is>
          <t>Constraint checks</t>
        </is>
      </c>
    </row>
    <row r="13">
      <c r="A13" s="4" t="inlineStr">
        <is>
          <t>Constraint</t>
        </is>
      </c>
      <c r="B13" s="4" t="inlineStr">
        <is>
          <t>Value</t>
        </is>
      </c>
      <c r="C13" s="4" t="inlineStr">
        <is>
          <t>Limit</t>
        </is>
      </c>
      <c r="D13" s="4" t="inlineStr">
        <is>
          <t>Status</t>
        </is>
      </c>
    </row>
    <row r="14">
      <c r="A14" s="7" t="inlineStr">
        <is>
          <t>Tomato beds at most MAX_BEDS</t>
        </is>
      </c>
      <c r="B14" s="16">
        <f>BEDS_TOMATO</f>
        <v/>
      </c>
      <c r="C14" s="16">
        <f>MAX_BEDS_TOM</f>
        <v/>
      </c>
      <c r="D14" s="17">
        <f>IF(B14&lt;=C14,"PASS","FAIL")</f>
        <v/>
      </c>
    </row>
    <row r="15">
      <c r="A15" s="7" t="inlineStr">
        <is>
          <t>Carrot beds at most MAX_BEDS</t>
        </is>
      </c>
      <c r="B15" s="16">
        <f>BEDS_CARROT</f>
        <v/>
      </c>
      <c r="C15" s="16">
        <f>MAX_BEDS_CAR</f>
        <v/>
      </c>
      <c r="D15" s="17">
        <f>IF(B15&lt;=C15,"PASS","FAIL")</f>
        <v/>
      </c>
    </row>
    <row r="16">
      <c r="A16" s="7" t="inlineStr">
        <is>
          <t>Mesclun beds at most MAX_BEDS</t>
        </is>
      </c>
      <c r="B16" s="16">
        <f>BEDS_MESCLUN</f>
        <v/>
      </c>
      <c r="C16" s="16">
        <f>MAX_BEDS_MES</f>
        <v/>
      </c>
      <c r="D16" s="17">
        <f>IF(B16&lt;=C16,"PASS","FAIL")</f>
        <v/>
      </c>
    </row>
    <row r="17">
      <c r="A17" s="7" t="inlineStr">
        <is>
          <t>Total beds at most TOTAL_BED_CAP</t>
        </is>
      </c>
      <c r="B17" s="16">
        <f>BEDS_TOMATO+BEDS_CARROT+BEDS_MESCLUN</f>
        <v/>
      </c>
      <c r="C17" s="16">
        <f>TOTAL_BED_CAP</f>
        <v/>
      </c>
      <c r="D17" s="17">
        <f>IF(B17&lt;=C17,"PASS","FAIL")</f>
        <v/>
      </c>
    </row>
    <row r="18">
      <c r="A18" s="7" t="inlineStr">
        <is>
          <t>Temp workers at most MAX_TEMPS</t>
        </is>
      </c>
      <c r="B18" s="16">
        <f>TEMPS_REQUIRED</f>
        <v/>
      </c>
      <c r="C18" s="16">
        <f>MAX_TEMPS</f>
        <v/>
      </c>
      <c r="D18" s="17">
        <f>IF(B18&lt;=C18,"PASS","FAIL")</f>
        <v/>
      </c>
    </row>
    <row r="19">
      <c r="A19" s="3" t="inlineStr">
        <is>
          <t>All constraints</t>
        </is>
      </c>
      <c r="D19" s="17">
        <f>IF(COUNTIF(D14:D18,"PASS")=5,"PASS","FAIL")</f>
        <v/>
      </c>
    </row>
    <row r="21">
      <c r="A21" s="3" t="inlineStr">
        <is>
          <t>Solver settings — enter these in Excel (Data &gt; Solver)</t>
        </is>
      </c>
    </row>
    <row r="22">
      <c r="A22" s="13" t="inlineStr">
        <is>
          <t>Set Objective</t>
        </is>
      </c>
      <c r="B22" s="13" t="inlineStr">
        <is>
          <t>$B$10</t>
        </is>
      </c>
    </row>
    <row r="23">
      <c r="A23" s="13" t="inlineStr">
        <is>
          <t>To</t>
        </is>
      </c>
      <c r="B23" s="13" t="inlineStr">
        <is>
          <t>Max</t>
        </is>
      </c>
    </row>
    <row r="24">
      <c r="A24" s="13" t="inlineStr">
        <is>
          <t>By Changing Variable Cells</t>
        </is>
      </c>
      <c r="B24" s="13" t="inlineStr">
        <is>
          <t>$B$5:$B$7</t>
        </is>
      </c>
    </row>
    <row r="25">
      <c r="A25" s="13" t="inlineStr">
        <is>
          <t>Subject to the Constraints</t>
        </is>
      </c>
      <c r="B25" s="13" t="inlineStr">
        <is>
          <t>$B$5:$B$7 = integer</t>
        </is>
      </c>
    </row>
    <row r="26">
      <c r="A26" s="13" t="inlineStr"/>
      <c r="B26" s="13" t="inlineStr">
        <is>
          <t>$B$5:$B$7 &gt;= 0</t>
        </is>
      </c>
    </row>
    <row r="27">
      <c r="A27" s="13" t="inlineStr"/>
      <c r="B27" s="13" t="inlineStr">
        <is>
          <t>$B$14 &lt;= $C$14      (tomato cap)</t>
        </is>
      </c>
    </row>
    <row r="28">
      <c r="A28" s="13" t="inlineStr"/>
      <c r="B28" s="13" t="inlineStr">
        <is>
          <t>$B$15 &lt;= $C$15      (carrot cap)</t>
        </is>
      </c>
    </row>
    <row r="29">
      <c r="A29" s="13" t="inlineStr"/>
      <c r="B29" s="13" t="inlineStr">
        <is>
          <t>$B$16 &lt;= $C$16      (mesclun cap)</t>
        </is>
      </c>
    </row>
    <row r="30">
      <c r="A30" s="13" t="inlineStr"/>
      <c r="B30" s="13" t="inlineStr">
        <is>
          <t>$B$17 &lt;= $C$17      (64 beds total)</t>
        </is>
      </c>
    </row>
    <row r="31">
      <c r="A31" s="13" t="inlineStr"/>
      <c r="B31" s="13" t="inlineStr">
        <is>
          <t>$B$18 &lt;= $C$18      (4 temp workers)</t>
        </is>
      </c>
    </row>
    <row r="32">
      <c r="A32" s="13" t="inlineStr">
        <is>
          <t>Solving Method</t>
        </is>
      </c>
      <c r="B32" s="13" t="inlineStr">
        <is>
          <t>GRG Nonlinear</t>
        </is>
      </c>
    </row>
    <row r="33">
      <c r="A33" s="13" t="inlineStr">
        <is>
          <t>Make Unconstrained Variables Non-Negative</t>
        </is>
      </c>
      <c r="B33" s="13" t="inlineStr">
        <is>
          <t>checked</t>
        </is>
      </c>
    </row>
    <row r="35">
      <c r="A35" s="2" t="inlineStr">
        <is>
          <t>Audit: run Solver from B5:B7 = 0/0/0, record the answer, then reset to 20/0/0 and run again.</t>
        </is>
      </c>
    </row>
    <row r="36">
      <c r="A36" s="2" t="inlineStr">
        <is>
          <t>GRG Nonlinear stops at the first summit it reaches, so the two runs are a real test, not a formality.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52" customWidth="1" min="5" max="5"/>
  </cols>
  <sheetData>
    <row r="1">
      <c r="A1" s="1" t="inlineStr">
        <is>
          <t>Cost structure at the current bed counts</t>
        </is>
      </c>
    </row>
    <row r="2">
      <c r="A2" s="2" t="inlineStr">
        <is>
          <t>Everything here is a formula. Change the bed counts on the Optimization sheet and these follow.</t>
        </is>
      </c>
    </row>
    <row r="4">
      <c r="A4" s="3" t="inlineStr">
        <is>
          <t>Labor hours — 3.1 and 3.5</t>
        </is>
      </c>
    </row>
    <row r="5">
      <c r="A5" s="13" t="inlineStr">
        <is>
          <t>Tomato labor hours</t>
        </is>
      </c>
      <c r="B5" s="18">
        <f>BEDS_TOMATO*HRS_PER_BED_WEEK_TOM*WEEKS*(1+DIM_PCT_TOM)^BEDS_TOMATO</f>
        <v/>
      </c>
      <c r="E5" s="2" t="inlineStr">
        <is>
          <t>q x hrs/bed-week x weeks x (1+dim)^q</t>
        </is>
      </c>
    </row>
    <row r="6">
      <c r="A6" s="13" t="inlineStr">
        <is>
          <t>Carrot labor hours</t>
        </is>
      </c>
      <c r="B6" s="18">
        <f>BEDS_CARROT*HRS_PER_BED_WEEK_CAR*WEEKS*(1+DIM_PCT_CAR)^BEDS_CARROT</f>
        <v/>
      </c>
    </row>
    <row r="7">
      <c r="A7" s="13" t="inlineStr">
        <is>
          <t>Mesclun labor hours</t>
        </is>
      </c>
      <c r="B7" s="18">
        <f>BEDS_MESCLUN*HRS_PER_BED_WEEK_MES*WEEKS*(1+DIM_PCT_MES)^BEDS_MESCLUN</f>
        <v/>
      </c>
    </row>
    <row r="8">
      <c r="A8" s="3" t="inlineStr">
        <is>
          <t>TOTAL_LABOR_HRS</t>
        </is>
      </c>
      <c r="B8" s="11">
        <f>SUM(B5:B7)</f>
        <v/>
      </c>
      <c r="E8" s="2" t="inlineStr">
        <is>
          <t>all hours, all three crops</t>
        </is>
      </c>
    </row>
    <row r="10">
      <c r="A10" s="3" t="inlineStr">
        <is>
          <t>Who covers the hours — 3.5</t>
        </is>
      </c>
    </row>
    <row r="11">
      <c r="A11" s="13" t="inlineStr">
        <is>
          <t>FARMER_HRS_USED</t>
        </is>
      </c>
      <c r="B11" s="11">
        <f>MIN(TOTAL_LABOR_HRS,FARMER_FIELD_HRS)</f>
        <v/>
      </c>
      <c r="E11" s="2" t="inlineStr">
        <is>
          <t>the farmer is consumed first, always</t>
        </is>
      </c>
    </row>
    <row r="12">
      <c r="A12" s="13" t="inlineStr">
        <is>
          <t>TEMP_HRS_USED</t>
        </is>
      </c>
      <c r="B12" s="11">
        <f>MAX(0,TOTAL_LABOR_HRS-FARMER_FIELD_HRS)</f>
        <v/>
      </c>
      <c r="E12" s="2" t="inlineStr">
        <is>
          <t>temps cover only the remainder</t>
        </is>
      </c>
    </row>
    <row r="13">
      <c r="A13" s="13" t="inlineStr">
        <is>
          <t>TEMPS_REQUIRED</t>
        </is>
      </c>
      <c r="B13" s="16">
        <f>ROUNDUP(TEMP_HRS_USED/TEMP_HRS_EACH,0)</f>
        <v/>
      </c>
      <c r="E13" s="2" t="inlineStr">
        <is>
          <t>headcount for the cap only; cost never uses it</t>
        </is>
      </c>
    </row>
    <row r="15">
      <c r="A15" s="3" t="inlineStr">
        <is>
          <t>Labor cost — 3.6, 3.7, 3.9</t>
        </is>
      </c>
    </row>
    <row r="16">
      <c r="A16" s="13" t="inlineStr">
        <is>
          <t>FARMER_LABOR_COST</t>
        </is>
      </c>
      <c r="B16" s="19">
        <f>FARMER_HRS_USED*FARMER_RATE</f>
        <v/>
      </c>
      <c r="E16" s="2" t="inlineStr">
        <is>
          <t>field hours only; the other half of her salary is not crop labor</t>
        </is>
      </c>
    </row>
    <row r="17">
      <c r="A17" s="13" t="inlineStr">
        <is>
          <t>TEMP_LABOR_COST</t>
        </is>
      </c>
      <c r="B17" s="19">
        <f>TEMP_HRS_USED*TEMP_RATE</f>
        <v/>
      </c>
      <c r="E17" s="2" t="inlineStr">
        <is>
          <t>hours actually used, not a lump sum per worker</t>
        </is>
      </c>
    </row>
    <row r="18">
      <c r="A18" s="3" t="inlineStr">
        <is>
          <t>TOTAL_LABOR_COST</t>
        </is>
      </c>
      <c r="B18" s="19">
        <f>FARMER_LABOR_COST+TEMP_LABOR_COST</f>
        <v/>
      </c>
    </row>
    <row r="19">
      <c r="A19" s="13" t="inlineStr">
        <is>
          <t>BLENDED_RATE</t>
        </is>
      </c>
      <c r="B19" s="12">
        <f>IF(TOTAL_LABOR_HRS=0,0,TOTAL_LABOR_COST/TOTAL_LABOR_HRS)</f>
        <v/>
      </c>
      <c r="E19" s="2" t="inlineStr">
        <is>
          <t>total labor dollars / total labor hours</t>
        </is>
      </c>
    </row>
    <row r="21">
      <c r="A21" s="3" t="inlineStr">
        <is>
          <t>Labor allocated to crops at the blended rate — 3.9</t>
        </is>
      </c>
    </row>
    <row r="22">
      <c r="A22" s="2" t="inlineStr">
        <is>
          <t>Reporting only. This allocation is never added on top of TOTAL_LABOR_COST.</t>
        </is>
      </c>
    </row>
    <row r="23">
      <c r="A23" s="13" t="inlineStr">
        <is>
          <t>Tomato labor cost</t>
        </is>
      </c>
      <c r="B23" s="19">
        <f>B5*BLENDED_RATE</f>
        <v/>
      </c>
    </row>
    <row r="24">
      <c r="A24" s="13" t="inlineStr">
        <is>
          <t>Carrot labor cost</t>
        </is>
      </c>
      <c r="B24" s="19">
        <f>B6*BLENDED_RATE</f>
        <v/>
      </c>
    </row>
    <row r="25">
      <c r="A25" s="13" t="inlineStr">
        <is>
          <t>Mesclun labor cost</t>
        </is>
      </c>
      <c r="B25" s="19">
        <f>B7*BLENDED_RATE</f>
        <v/>
      </c>
    </row>
    <row r="26">
      <c r="A26" s="13" t="inlineStr">
        <is>
          <t>Check: allocation equals total</t>
        </is>
      </c>
      <c r="B26" s="19">
        <f>SUM(B23:B25)</f>
        <v/>
      </c>
      <c r="E26" s="2" t="inlineStr">
        <is>
          <t>must equal TOTAL_LABOR_COST</t>
        </is>
      </c>
    </row>
    <row r="28">
      <c r="A28" s="3" t="inlineStr">
        <is>
          <t>Revenue, fertilizer, profit — 3.3, 3.4, 3.11</t>
        </is>
      </c>
    </row>
    <row r="29">
      <c r="A29" s="13" t="inlineStr">
        <is>
          <t>SEASON_REVENUE</t>
        </is>
      </c>
      <c r="B29" s="15">
        <f>BEDS_TOMATO*PRICE_PER_BED_TOM+BEDS_CARROT*PRICE_PER_BED_CAR+BEDS_MESCLUN*PRICE_PER_BED_MES</f>
        <v/>
      </c>
      <c r="E29" s="2" t="inlineStr">
        <is>
          <t>price per bed is constant — the farm is a price taker</t>
        </is>
      </c>
    </row>
    <row r="30">
      <c r="A30" s="13" t="inlineStr">
        <is>
          <t>FERTILIZER_COST</t>
        </is>
      </c>
      <c r="B30" s="15">
        <f>BEDS_TOMATO*FERTILIZER_PER_BED_TOM+BEDS_CARROT*FERTILIZER_PER_BED_CAR+BEDS_MESCLUN*FERTILIZER_PER_BED_MES</f>
        <v/>
      </c>
      <c r="E30" s="2" t="inlineStr">
        <is>
          <t>linear in beds</t>
        </is>
      </c>
    </row>
    <row r="31">
      <c r="A31" s="13" t="inlineStr">
        <is>
          <t>Fixed costs</t>
        </is>
      </c>
      <c r="B31" s="15">
        <f>FIXED_COSTS</f>
        <v/>
      </c>
      <c r="E31" s="2" t="inlineStr">
        <is>
          <t>contains no part of FARMER_SALARY</t>
        </is>
      </c>
    </row>
    <row r="32">
      <c r="A32" s="3" t="inlineStr">
        <is>
          <t>TOTAL_COST</t>
        </is>
      </c>
      <c r="B32" s="19">
        <f>FERTILIZER_COST+TOTAL_LABOR_COST+FIXED_COSTS</f>
        <v/>
      </c>
    </row>
    <row r="33">
      <c r="A33" s="13" t="inlineStr"/>
    </row>
    <row r="34">
      <c r="A34" s="3" t="inlineStr">
        <is>
          <t>SEASON_PROFIT</t>
        </is>
      </c>
      <c r="B34" s="20">
        <f>SEASON_REVENUE-FERTILIZER_COST-TOTAL_LABOR_COST-FIXED_COSTS</f>
        <v/>
      </c>
      <c r="E34" s="2" t="inlineStr">
        <is>
          <t>labor counted once</t>
        </is>
      </c>
    </row>
    <row r="36">
      <c r="A36" s="3" t="inlineStr">
        <is>
          <t>Hand check — 3.1 at q = 1</t>
        </is>
      </c>
    </row>
    <row r="37">
      <c r="A37" s="13" t="inlineStr">
        <is>
          <t>LABOR_HRS(1) for tomatoes</t>
        </is>
      </c>
      <c r="B37" s="11">
        <f>1*HRS_PER_BED_WEEK_TOM*WEEKS*(1+DIM_PCT_TOM)^1</f>
        <v/>
      </c>
      <c r="E37" s="2" t="inlineStr">
        <is>
          <t>1 x 2.50 x 36 x 1.10 = 99 hours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5" customWidth="1" min="7" max="7"/>
    <col width="11" customWidth="1" min="8" max="8"/>
    <col width="15" customWidth="1" min="9" max="9"/>
    <col width="6" customWidth="1" min="11" max="11"/>
    <col width="14" customWidth="1" min="12" max="12"/>
    <col width="14" customWidth="1" min="13" max="13"/>
    <col width="14" customWidth="1" min="14" max="14"/>
    <col width="14" customWidth="1" min="15" max="15"/>
    <col width="16" customWidth="1" min="16" max="16"/>
    <col width="15" customWidth="1" min="17" max="17"/>
    <col width="11" customWidth="1" min="18" max="18"/>
    <col width="15" customWidth="1" min="19" max="19"/>
    <col width="6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5" customWidth="1" min="27" max="27"/>
    <col width="11" customWidth="1" min="28" max="28"/>
    <col width="15" customWidth="1" min="29" max="29"/>
  </cols>
  <sheetData>
    <row r="1">
      <c r="A1" s="1" t="inlineStr">
        <is>
          <t>Standalone marginal cost schedules — 3.10</t>
        </is>
      </c>
    </row>
    <row r="2">
      <c r="A2" s="2" t="inlineStr">
        <is>
          <t>Standalone: the other two crops are held at ZERO beds, so each schedule shows that crop alone.</t>
        </is>
      </c>
    </row>
    <row r="3">
      <c r="A3" s="2" t="inlineStr">
        <is>
          <t>Labor cost follows 3.5-3.7: the farmer's 720 field hours first, then temps. Fixed costs are excluded — they cancel in the subtraction.</t>
        </is>
      </c>
    </row>
    <row r="5">
      <c r="A5" s="1" t="inlineStr">
        <is>
          <t>Tomatoes</t>
        </is>
      </c>
      <c r="K5" s="1" t="inlineStr">
        <is>
          <t>Carrots</t>
        </is>
      </c>
      <c r="U5" s="1" t="inlineStr">
        <is>
          <t>Mesclun</t>
        </is>
      </c>
    </row>
    <row r="6">
      <c r="A6" s="21" t="inlineStr">
        <is>
          <t>q</t>
        </is>
      </c>
      <c r="B6" s="21" t="inlineStr">
        <is>
          <t>Labor hours</t>
        </is>
      </c>
      <c r="C6" s="21" t="inlineStr">
        <is>
          <t>Labor cost</t>
        </is>
      </c>
      <c r="D6" s="21" t="inlineStr">
        <is>
          <t>Fertilizer</t>
        </is>
      </c>
      <c r="E6" s="21" t="inlineStr">
        <is>
          <t>Total cost</t>
        </is>
      </c>
      <c r="F6" s="21" t="inlineStr">
        <is>
          <t>Marginal cost</t>
        </is>
      </c>
      <c r="G6" s="21" t="inlineStr">
        <is>
          <t>Price per bed</t>
        </is>
      </c>
      <c r="H6" s="21" t="inlineStr">
        <is>
          <t>MC &lt;= P</t>
        </is>
      </c>
      <c r="I6" s="21" t="inlineStr">
        <is>
          <t>Run of MC &lt;= P</t>
        </is>
      </c>
      <c r="K6" s="21" t="inlineStr">
        <is>
          <t>q</t>
        </is>
      </c>
      <c r="L6" s="21" t="inlineStr">
        <is>
          <t>Labor hours</t>
        </is>
      </c>
      <c r="M6" s="21" t="inlineStr">
        <is>
          <t>Labor cost</t>
        </is>
      </c>
      <c r="N6" s="21" t="inlineStr">
        <is>
          <t>Fertilizer</t>
        </is>
      </c>
      <c r="O6" s="21" t="inlineStr">
        <is>
          <t>Total cost</t>
        </is>
      </c>
      <c r="P6" s="21" t="inlineStr">
        <is>
          <t>Marginal cost</t>
        </is>
      </c>
      <c r="Q6" s="21" t="inlineStr">
        <is>
          <t>Price per bed</t>
        </is>
      </c>
      <c r="R6" s="21" t="inlineStr">
        <is>
          <t>MC &lt;= P</t>
        </is>
      </c>
      <c r="S6" s="21" t="inlineStr">
        <is>
          <t>Run of MC &lt;= P</t>
        </is>
      </c>
      <c r="U6" s="21" t="inlineStr">
        <is>
          <t>q</t>
        </is>
      </c>
      <c r="V6" s="21" t="inlineStr">
        <is>
          <t>Labor hours</t>
        </is>
      </c>
      <c r="W6" s="21" t="inlineStr">
        <is>
          <t>Labor cost</t>
        </is>
      </c>
      <c r="X6" s="21" t="inlineStr">
        <is>
          <t>Fertilizer</t>
        </is>
      </c>
      <c r="Y6" s="21" t="inlineStr">
        <is>
          <t>Total cost</t>
        </is>
      </c>
      <c r="Z6" s="21" t="inlineStr">
        <is>
          <t>Marginal cost</t>
        </is>
      </c>
      <c r="AA6" s="21" t="inlineStr">
        <is>
          <t>Price per bed</t>
        </is>
      </c>
      <c r="AB6" s="21" t="inlineStr">
        <is>
          <t>MC &lt;= P</t>
        </is>
      </c>
      <c r="AC6" s="21" t="inlineStr">
        <is>
          <t>Run of MC &lt;= P</t>
        </is>
      </c>
    </row>
    <row r="7">
      <c r="A7" s="7" t="n">
        <v>0</v>
      </c>
      <c r="B7" s="11">
        <f>A7*HRS_PER_BED_WEEK_TOM*WEEKS*(1+DIM_PCT_TOM)^A7</f>
        <v/>
      </c>
      <c r="C7" s="19">
        <f>MIN(B7,FARMER_FIELD_HRS)*FARMER_RATE+MAX(0,B7-FARMER_FIELD_HRS)*TEMP_RATE</f>
        <v/>
      </c>
      <c r="D7" s="19">
        <f>A7*FERTILIZER_PER_BED_TOM</f>
        <v/>
      </c>
      <c r="E7" s="19">
        <f>C7+D7</f>
        <v/>
      </c>
      <c r="F7" s="19" t="inlineStr"/>
      <c r="G7" s="19">
        <f>PRICE_PER_BED_TOM</f>
        <v/>
      </c>
      <c r="H7" s="7" t="inlineStr"/>
      <c r="I7" s="7" t="n">
        <v>1</v>
      </c>
      <c r="K7" s="7" t="n">
        <v>0</v>
      </c>
      <c r="L7" s="11">
        <f>K7*HRS_PER_BED_WEEK_CAR*WEEKS*(1+DIM_PCT_CAR)^K7</f>
        <v/>
      </c>
      <c r="M7" s="19">
        <f>MIN(L7,FARMER_FIELD_HRS)*FARMER_RATE+MAX(0,L7-FARMER_FIELD_HRS)*TEMP_RATE</f>
        <v/>
      </c>
      <c r="N7" s="19">
        <f>K7*FERTILIZER_PER_BED_CAR</f>
        <v/>
      </c>
      <c r="O7" s="19">
        <f>M7+N7</f>
        <v/>
      </c>
      <c r="P7" s="19" t="inlineStr"/>
      <c r="Q7" s="19">
        <f>PRICE_PER_BED_CAR</f>
        <v/>
      </c>
      <c r="R7" s="7" t="inlineStr"/>
      <c r="S7" s="7" t="n">
        <v>1</v>
      </c>
      <c r="U7" s="7" t="n">
        <v>0</v>
      </c>
      <c r="V7" s="11">
        <f>U7*HRS_PER_BED_WEEK_MES*WEEKS*(1+DIM_PCT_MES)^U7</f>
        <v/>
      </c>
      <c r="W7" s="19">
        <f>MIN(V7,FARMER_FIELD_HRS)*FARMER_RATE+MAX(0,V7-FARMER_FIELD_HRS)*TEMP_RATE</f>
        <v/>
      </c>
      <c r="X7" s="19">
        <f>U7*FERTILIZER_PER_BED_MES</f>
        <v/>
      </c>
      <c r="Y7" s="19">
        <f>W7+X7</f>
        <v/>
      </c>
      <c r="Z7" s="19" t="inlineStr"/>
      <c r="AA7" s="19">
        <f>PRICE_PER_BED_MES</f>
        <v/>
      </c>
      <c r="AB7" s="7" t="inlineStr"/>
      <c r="AC7" s="7" t="n">
        <v>1</v>
      </c>
    </row>
    <row r="8">
      <c r="A8" s="7" t="n">
        <v>1</v>
      </c>
      <c r="B8" s="11">
        <f>A8*HRS_PER_BED_WEEK_TOM*WEEKS*(1+DIM_PCT_TOM)^A8</f>
        <v/>
      </c>
      <c r="C8" s="19">
        <f>MIN(B8,FARMER_FIELD_HRS)*FARMER_RATE+MAX(0,B8-FARMER_FIELD_HRS)*TEMP_RATE</f>
        <v/>
      </c>
      <c r="D8" s="19">
        <f>A8*FERTILIZER_PER_BED_TOM</f>
        <v/>
      </c>
      <c r="E8" s="19">
        <f>C8+D8</f>
        <v/>
      </c>
      <c r="F8" s="19">
        <f>E8-E7</f>
        <v/>
      </c>
      <c r="G8" s="19">
        <f>PRICE_PER_BED_TOM</f>
        <v/>
      </c>
      <c r="H8" s="22">
        <f>IF(F8&lt;=PRICE_PER_BED_TOM,1,0)</f>
        <v/>
      </c>
      <c r="I8" s="22">
        <f>I7*H8</f>
        <v/>
      </c>
      <c r="K8" s="7" t="n">
        <v>1</v>
      </c>
      <c r="L8" s="11">
        <f>K8*HRS_PER_BED_WEEK_CAR*WEEKS*(1+DIM_PCT_CAR)^K8</f>
        <v/>
      </c>
      <c r="M8" s="19">
        <f>MIN(L8,FARMER_FIELD_HRS)*FARMER_RATE+MAX(0,L8-FARMER_FIELD_HRS)*TEMP_RATE</f>
        <v/>
      </c>
      <c r="N8" s="19">
        <f>K8*FERTILIZER_PER_BED_CAR</f>
        <v/>
      </c>
      <c r="O8" s="19">
        <f>M8+N8</f>
        <v/>
      </c>
      <c r="P8" s="19">
        <f>O8-O7</f>
        <v/>
      </c>
      <c r="Q8" s="19">
        <f>PRICE_PER_BED_CAR</f>
        <v/>
      </c>
      <c r="R8" s="22">
        <f>IF(P8&lt;=PRICE_PER_BED_CAR,1,0)</f>
        <v/>
      </c>
      <c r="S8" s="22">
        <f>S7*R8</f>
        <v/>
      </c>
      <c r="U8" s="7" t="n">
        <v>1</v>
      </c>
      <c r="V8" s="11">
        <f>U8*HRS_PER_BED_WEEK_MES*WEEKS*(1+DIM_PCT_MES)^U8</f>
        <v/>
      </c>
      <c r="W8" s="19">
        <f>MIN(V8,FARMER_FIELD_HRS)*FARMER_RATE+MAX(0,V8-FARMER_FIELD_HRS)*TEMP_RATE</f>
        <v/>
      </c>
      <c r="X8" s="19">
        <f>U8*FERTILIZER_PER_BED_MES</f>
        <v/>
      </c>
      <c r="Y8" s="19">
        <f>W8+X8</f>
        <v/>
      </c>
      <c r="Z8" s="19">
        <f>Y8-Y7</f>
        <v/>
      </c>
      <c r="AA8" s="19">
        <f>PRICE_PER_BED_MES</f>
        <v/>
      </c>
      <c r="AB8" s="22">
        <f>IF(Z8&lt;=PRICE_PER_BED_MES,1,0)</f>
        <v/>
      </c>
      <c r="AC8" s="22">
        <f>AC7*AB8</f>
        <v/>
      </c>
    </row>
    <row r="9">
      <c r="A9" s="7" t="n">
        <v>2</v>
      </c>
      <c r="B9" s="11">
        <f>A9*HRS_PER_BED_WEEK_TOM*WEEKS*(1+DIM_PCT_TOM)^A9</f>
        <v/>
      </c>
      <c r="C9" s="19">
        <f>MIN(B9,FARMER_FIELD_HRS)*FARMER_RATE+MAX(0,B9-FARMER_FIELD_HRS)*TEMP_RATE</f>
        <v/>
      </c>
      <c r="D9" s="19">
        <f>A9*FERTILIZER_PER_BED_TOM</f>
        <v/>
      </c>
      <c r="E9" s="19">
        <f>C9+D9</f>
        <v/>
      </c>
      <c r="F9" s="19">
        <f>E9-E8</f>
        <v/>
      </c>
      <c r="G9" s="19">
        <f>PRICE_PER_BED_TOM</f>
        <v/>
      </c>
      <c r="H9" s="22">
        <f>IF(F9&lt;=PRICE_PER_BED_TOM,1,0)</f>
        <v/>
      </c>
      <c r="I9" s="22">
        <f>I8*H9</f>
        <v/>
      </c>
      <c r="K9" s="7" t="n">
        <v>2</v>
      </c>
      <c r="L9" s="11">
        <f>K9*HRS_PER_BED_WEEK_CAR*WEEKS*(1+DIM_PCT_CAR)^K9</f>
        <v/>
      </c>
      <c r="M9" s="19">
        <f>MIN(L9,FARMER_FIELD_HRS)*FARMER_RATE+MAX(0,L9-FARMER_FIELD_HRS)*TEMP_RATE</f>
        <v/>
      </c>
      <c r="N9" s="19">
        <f>K9*FERTILIZER_PER_BED_CAR</f>
        <v/>
      </c>
      <c r="O9" s="19">
        <f>M9+N9</f>
        <v/>
      </c>
      <c r="P9" s="19">
        <f>O9-O8</f>
        <v/>
      </c>
      <c r="Q9" s="19">
        <f>PRICE_PER_BED_CAR</f>
        <v/>
      </c>
      <c r="R9" s="22">
        <f>IF(P9&lt;=PRICE_PER_BED_CAR,1,0)</f>
        <v/>
      </c>
      <c r="S9" s="22">
        <f>S8*R9</f>
        <v/>
      </c>
      <c r="U9" s="7" t="n">
        <v>2</v>
      </c>
      <c r="V9" s="11">
        <f>U9*HRS_PER_BED_WEEK_MES*WEEKS*(1+DIM_PCT_MES)^U9</f>
        <v/>
      </c>
      <c r="W9" s="19">
        <f>MIN(V9,FARMER_FIELD_HRS)*FARMER_RATE+MAX(0,V9-FARMER_FIELD_HRS)*TEMP_RATE</f>
        <v/>
      </c>
      <c r="X9" s="19">
        <f>U9*FERTILIZER_PER_BED_MES</f>
        <v/>
      </c>
      <c r="Y9" s="19">
        <f>W9+X9</f>
        <v/>
      </c>
      <c r="Z9" s="19">
        <f>Y9-Y8</f>
        <v/>
      </c>
      <c r="AA9" s="19">
        <f>PRICE_PER_BED_MES</f>
        <v/>
      </c>
      <c r="AB9" s="22">
        <f>IF(Z9&lt;=PRICE_PER_BED_MES,1,0)</f>
        <v/>
      </c>
      <c r="AC9" s="22">
        <f>AC8*AB9</f>
        <v/>
      </c>
    </row>
    <row r="10">
      <c r="A10" s="7" t="n">
        <v>3</v>
      </c>
      <c r="B10" s="11">
        <f>A10*HRS_PER_BED_WEEK_TOM*WEEKS*(1+DIM_PCT_TOM)^A10</f>
        <v/>
      </c>
      <c r="C10" s="19">
        <f>MIN(B10,FARMER_FIELD_HRS)*FARMER_RATE+MAX(0,B10-FARMER_FIELD_HRS)*TEMP_RATE</f>
        <v/>
      </c>
      <c r="D10" s="19">
        <f>A10*FERTILIZER_PER_BED_TOM</f>
        <v/>
      </c>
      <c r="E10" s="19">
        <f>C10+D10</f>
        <v/>
      </c>
      <c r="F10" s="19">
        <f>E10-E9</f>
        <v/>
      </c>
      <c r="G10" s="19">
        <f>PRICE_PER_BED_TOM</f>
        <v/>
      </c>
      <c r="H10" s="22">
        <f>IF(F10&lt;=PRICE_PER_BED_TOM,1,0)</f>
        <v/>
      </c>
      <c r="I10" s="22">
        <f>I9*H10</f>
        <v/>
      </c>
      <c r="K10" s="7" t="n">
        <v>3</v>
      </c>
      <c r="L10" s="11">
        <f>K10*HRS_PER_BED_WEEK_CAR*WEEKS*(1+DIM_PCT_CAR)^K10</f>
        <v/>
      </c>
      <c r="M10" s="19">
        <f>MIN(L10,FARMER_FIELD_HRS)*FARMER_RATE+MAX(0,L10-FARMER_FIELD_HRS)*TEMP_RATE</f>
        <v/>
      </c>
      <c r="N10" s="19">
        <f>K10*FERTILIZER_PER_BED_CAR</f>
        <v/>
      </c>
      <c r="O10" s="19">
        <f>M10+N10</f>
        <v/>
      </c>
      <c r="P10" s="19">
        <f>O10-O9</f>
        <v/>
      </c>
      <c r="Q10" s="19">
        <f>PRICE_PER_BED_CAR</f>
        <v/>
      </c>
      <c r="R10" s="22">
        <f>IF(P10&lt;=PRICE_PER_BED_CAR,1,0)</f>
        <v/>
      </c>
      <c r="S10" s="22">
        <f>S9*R10</f>
        <v/>
      </c>
      <c r="U10" s="7" t="n">
        <v>3</v>
      </c>
      <c r="V10" s="11">
        <f>U10*HRS_PER_BED_WEEK_MES*WEEKS*(1+DIM_PCT_MES)^U10</f>
        <v/>
      </c>
      <c r="W10" s="19">
        <f>MIN(V10,FARMER_FIELD_HRS)*FARMER_RATE+MAX(0,V10-FARMER_FIELD_HRS)*TEMP_RATE</f>
        <v/>
      </c>
      <c r="X10" s="19">
        <f>U10*FERTILIZER_PER_BED_MES</f>
        <v/>
      </c>
      <c r="Y10" s="19">
        <f>W10+X10</f>
        <v/>
      </c>
      <c r="Z10" s="19">
        <f>Y10-Y9</f>
        <v/>
      </c>
      <c r="AA10" s="19">
        <f>PRICE_PER_BED_MES</f>
        <v/>
      </c>
      <c r="AB10" s="22">
        <f>IF(Z10&lt;=PRICE_PER_BED_MES,1,0)</f>
        <v/>
      </c>
      <c r="AC10" s="22">
        <f>AC9*AB10</f>
        <v/>
      </c>
    </row>
    <row r="11">
      <c r="A11" s="7" t="n">
        <v>4</v>
      </c>
      <c r="B11" s="11">
        <f>A11*HRS_PER_BED_WEEK_TOM*WEEKS*(1+DIM_PCT_TOM)^A11</f>
        <v/>
      </c>
      <c r="C11" s="19">
        <f>MIN(B11,FARMER_FIELD_HRS)*FARMER_RATE+MAX(0,B11-FARMER_FIELD_HRS)*TEMP_RATE</f>
        <v/>
      </c>
      <c r="D11" s="19">
        <f>A11*FERTILIZER_PER_BED_TOM</f>
        <v/>
      </c>
      <c r="E11" s="19">
        <f>C11+D11</f>
        <v/>
      </c>
      <c r="F11" s="19">
        <f>E11-E10</f>
        <v/>
      </c>
      <c r="G11" s="19">
        <f>PRICE_PER_BED_TOM</f>
        <v/>
      </c>
      <c r="H11" s="22">
        <f>IF(F11&lt;=PRICE_PER_BED_TOM,1,0)</f>
        <v/>
      </c>
      <c r="I11" s="22">
        <f>I10*H11</f>
        <v/>
      </c>
      <c r="K11" s="7" t="n">
        <v>4</v>
      </c>
      <c r="L11" s="11">
        <f>K11*HRS_PER_BED_WEEK_CAR*WEEKS*(1+DIM_PCT_CAR)^K11</f>
        <v/>
      </c>
      <c r="M11" s="19">
        <f>MIN(L11,FARMER_FIELD_HRS)*FARMER_RATE+MAX(0,L11-FARMER_FIELD_HRS)*TEMP_RATE</f>
        <v/>
      </c>
      <c r="N11" s="19">
        <f>K11*FERTILIZER_PER_BED_CAR</f>
        <v/>
      </c>
      <c r="O11" s="19">
        <f>M11+N11</f>
        <v/>
      </c>
      <c r="P11" s="19">
        <f>O11-O10</f>
        <v/>
      </c>
      <c r="Q11" s="19">
        <f>PRICE_PER_BED_CAR</f>
        <v/>
      </c>
      <c r="R11" s="22">
        <f>IF(P11&lt;=PRICE_PER_BED_CAR,1,0)</f>
        <v/>
      </c>
      <c r="S11" s="22">
        <f>S10*R11</f>
        <v/>
      </c>
      <c r="U11" s="7" t="n">
        <v>4</v>
      </c>
      <c r="V11" s="11">
        <f>U11*HRS_PER_BED_WEEK_MES*WEEKS*(1+DIM_PCT_MES)^U11</f>
        <v/>
      </c>
      <c r="W11" s="19">
        <f>MIN(V11,FARMER_FIELD_HRS)*FARMER_RATE+MAX(0,V11-FARMER_FIELD_HRS)*TEMP_RATE</f>
        <v/>
      </c>
      <c r="X11" s="19">
        <f>U11*FERTILIZER_PER_BED_MES</f>
        <v/>
      </c>
      <c r="Y11" s="19">
        <f>W11+X11</f>
        <v/>
      </c>
      <c r="Z11" s="19">
        <f>Y11-Y10</f>
        <v/>
      </c>
      <c r="AA11" s="19">
        <f>PRICE_PER_BED_MES</f>
        <v/>
      </c>
      <c r="AB11" s="22">
        <f>IF(Z11&lt;=PRICE_PER_BED_MES,1,0)</f>
        <v/>
      </c>
      <c r="AC11" s="22">
        <f>AC10*AB11</f>
        <v/>
      </c>
    </row>
    <row r="12">
      <c r="A12" s="7" t="n">
        <v>5</v>
      </c>
      <c r="B12" s="11">
        <f>A12*HRS_PER_BED_WEEK_TOM*WEEKS*(1+DIM_PCT_TOM)^A12</f>
        <v/>
      </c>
      <c r="C12" s="19">
        <f>MIN(B12,FARMER_FIELD_HRS)*FARMER_RATE+MAX(0,B12-FARMER_FIELD_HRS)*TEMP_RATE</f>
        <v/>
      </c>
      <c r="D12" s="19">
        <f>A12*FERTILIZER_PER_BED_TOM</f>
        <v/>
      </c>
      <c r="E12" s="19">
        <f>C12+D12</f>
        <v/>
      </c>
      <c r="F12" s="19">
        <f>E12-E11</f>
        <v/>
      </c>
      <c r="G12" s="19">
        <f>PRICE_PER_BED_TOM</f>
        <v/>
      </c>
      <c r="H12" s="22">
        <f>IF(F12&lt;=PRICE_PER_BED_TOM,1,0)</f>
        <v/>
      </c>
      <c r="I12" s="22">
        <f>I11*H12</f>
        <v/>
      </c>
      <c r="K12" s="7" t="n">
        <v>5</v>
      </c>
      <c r="L12" s="11">
        <f>K12*HRS_PER_BED_WEEK_CAR*WEEKS*(1+DIM_PCT_CAR)^K12</f>
        <v/>
      </c>
      <c r="M12" s="19">
        <f>MIN(L12,FARMER_FIELD_HRS)*FARMER_RATE+MAX(0,L12-FARMER_FIELD_HRS)*TEMP_RATE</f>
        <v/>
      </c>
      <c r="N12" s="19">
        <f>K12*FERTILIZER_PER_BED_CAR</f>
        <v/>
      </c>
      <c r="O12" s="19">
        <f>M12+N12</f>
        <v/>
      </c>
      <c r="P12" s="19">
        <f>O12-O11</f>
        <v/>
      </c>
      <c r="Q12" s="19">
        <f>PRICE_PER_BED_CAR</f>
        <v/>
      </c>
      <c r="R12" s="22">
        <f>IF(P12&lt;=PRICE_PER_BED_CAR,1,0)</f>
        <v/>
      </c>
      <c r="S12" s="22">
        <f>S11*R12</f>
        <v/>
      </c>
      <c r="U12" s="7" t="n">
        <v>5</v>
      </c>
      <c r="V12" s="11">
        <f>U12*HRS_PER_BED_WEEK_MES*WEEKS*(1+DIM_PCT_MES)^U12</f>
        <v/>
      </c>
      <c r="W12" s="19">
        <f>MIN(V12,FARMER_FIELD_HRS)*FARMER_RATE+MAX(0,V12-FARMER_FIELD_HRS)*TEMP_RATE</f>
        <v/>
      </c>
      <c r="X12" s="19">
        <f>U12*FERTILIZER_PER_BED_MES</f>
        <v/>
      </c>
      <c r="Y12" s="19">
        <f>W12+X12</f>
        <v/>
      </c>
      <c r="Z12" s="19">
        <f>Y12-Y11</f>
        <v/>
      </c>
      <c r="AA12" s="19">
        <f>PRICE_PER_BED_MES</f>
        <v/>
      </c>
      <c r="AB12" s="22">
        <f>IF(Z12&lt;=PRICE_PER_BED_MES,1,0)</f>
        <v/>
      </c>
      <c r="AC12" s="22">
        <f>AC11*AB12</f>
        <v/>
      </c>
    </row>
    <row r="13">
      <c r="A13" s="7" t="n">
        <v>6</v>
      </c>
      <c r="B13" s="11">
        <f>A13*HRS_PER_BED_WEEK_TOM*WEEKS*(1+DIM_PCT_TOM)^A13</f>
        <v/>
      </c>
      <c r="C13" s="19">
        <f>MIN(B13,FARMER_FIELD_HRS)*FARMER_RATE+MAX(0,B13-FARMER_FIELD_HRS)*TEMP_RATE</f>
        <v/>
      </c>
      <c r="D13" s="19">
        <f>A13*FERTILIZER_PER_BED_TOM</f>
        <v/>
      </c>
      <c r="E13" s="19">
        <f>C13+D13</f>
        <v/>
      </c>
      <c r="F13" s="19">
        <f>E13-E12</f>
        <v/>
      </c>
      <c r="G13" s="19">
        <f>PRICE_PER_BED_TOM</f>
        <v/>
      </c>
      <c r="H13" s="22">
        <f>IF(F13&lt;=PRICE_PER_BED_TOM,1,0)</f>
        <v/>
      </c>
      <c r="I13" s="22">
        <f>I12*H13</f>
        <v/>
      </c>
      <c r="K13" s="7" t="n">
        <v>6</v>
      </c>
      <c r="L13" s="11">
        <f>K13*HRS_PER_BED_WEEK_CAR*WEEKS*(1+DIM_PCT_CAR)^K13</f>
        <v/>
      </c>
      <c r="M13" s="19">
        <f>MIN(L13,FARMER_FIELD_HRS)*FARMER_RATE+MAX(0,L13-FARMER_FIELD_HRS)*TEMP_RATE</f>
        <v/>
      </c>
      <c r="N13" s="19">
        <f>K13*FERTILIZER_PER_BED_CAR</f>
        <v/>
      </c>
      <c r="O13" s="19">
        <f>M13+N13</f>
        <v/>
      </c>
      <c r="P13" s="19">
        <f>O13-O12</f>
        <v/>
      </c>
      <c r="Q13" s="19">
        <f>PRICE_PER_BED_CAR</f>
        <v/>
      </c>
      <c r="R13" s="22">
        <f>IF(P13&lt;=PRICE_PER_BED_CAR,1,0)</f>
        <v/>
      </c>
      <c r="S13" s="22">
        <f>S12*R13</f>
        <v/>
      </c>
      <c r="U13" s="7" t="n">
        <v>6</v>
      </c>
      <c r="V13" s="11">
        <f>U13*HRS_PER_BED_WEEK_MES*WEEKS*(1+DIM_PCT_MES)^U13</f>
        <v/>
      </c>
      <c r="W13" s="19">
        <f>MIN(V13,FARMER_FIELD_HRS)*FARMER_RATE+MAX(0,V13-FARMER_FIELD_HRS)*TEMP_RATE</f>
        <v/>
      </c>
      <c r="X13" s="19">
        <f>U13*FERTILIZER_PER_BED_MES</f>
        <v/>
      </c>
      <c r="Y13" s="19">
        <f>W13+X13</f>
        <v/>
      </c>
      <c r="Z13" s="19">
        <f>Y13-Y12</f>
        <v/>
      </c>
      <c r="AA13" s="19">
        <f>PRICE_PER_BED_MES</f>
        <v/>
      </c>
      <c r="AB13" s="22">
        <f>IF(Z13&lt;=PRICE_PER_BED_MES,1,0)</f>
        <v/>
      </c>
      <c r="AC13" s="22">
        <f>AC12*AB13</f>
        <v/>
      </c>
    </row>
    <row r="14">
      <c r="A14" s="7" t="n">
        <v>7</v>
      </c>
      <c r="B14" s="11">
        <f>A14*HRS_PER_BED_WEEK_TOM*WEEKS*(1+DIM_PCT_TOM)^A14</f>
        <v/>
      </c>
      <c r="C14" s="19">
        <f>MIN(B14,FARMER_FIELD_HRS)*FARMER_RATE+MAX(0,B14-FARMER_FIELD_HRS)*TEMP_RATE</f>
        <v/>
      </c>
      <c r="D14" s="19">
        <f>A14*FERTILIZER_PER_BED_TOM</f>
        <v/>
      </c>
      <c r="E14" s="19">
        <f>C14+D14</f>
        <v/>
      </c>
      <c r="F14" s="19">
        <f>E14-E13</f>
        <v/>
      </c>
      <c r="G14" s="19">
        <f>PRICE_PER_BED_TOM</f>
        <v/>
      </c>
      <c r="H14" s="22">
        <f>IF(F14&lt;=PRICE_PER_BED_TOM,1,0)</f>
        <v/>
      </c>
      <c r="I14" s="22">
        <f>I13*H14</f>
        <v/>
      </c>
      <c r="K14" s="7" t="n">
        <v>7</v>
      </c>
      <c r="L14" s="11">
        <f>K14*HRS_PER_BED_WEEK_CAR*WEEKS*(1+DIM_PCT_CAR)^K14</f>
        <v/>
      </c>
      <c r="M14" s="19">
        <f>MIN(L14,FARMER_FIELD_HRS)*FARMER_RATE+MAX(0,L14-FARMER_FIELD_HRS)*TEMP_RATE</f>
        <v/>
      </c>
      <c r="N14" s="19">
        <f>K14*FERTILIZER_PER_BED_CAR</f>
        <v/>
      </c>
      <c r="O14" s="19">
        <f>M14+N14</f>
        <v/>
      </c>
      <c r="P14" s="19">
        <f>O14-O13</f>
        <v/>
      </c>
      <c r="Q14" s="19">
        <f>PRICE_PER_BED_CAR</f>
        <v/>
      </c>
      <c r="R14" s="22">
        <f>IF(P14&lt;=PRICE_PER_BED_CAR,1,0)</f>
        <v/>
      </c>
      <c r="S14" s="22">
        <f>S13*R14</f>
        <v/>
      </c>
      <c r="U14" s="7" t="n">
        <v>7</v>
      </c>
      <c r="V14" s="11">
        <f>U14*HRS_PER_BED_WEEK_MES*WEEKS*(1+DIM_PCT_MES)^U14</f>
        <v/>
      </c>
      <c r="W14" s="19">
        <f>MIN(V14,FARMER_FIELD_HRS)*FARMER_RATE+MAX(0,V14-FARMER_FIELD_HRS)*TEMP_RATE</f>
        <v/>
      </c>
      <c r="X14" s="19">
        <f>U14*FERTILIZER_PER_BED_MES</f>
        <v/>
      </c>
      <c r="Y14" s="19">
        <f>W14+X14</f>
        <v/>
      </c>
      <c r="Z14" s="19">
        <f>Y14-Y13</f>
        <v/>
      </c>
      <c r="AA14" s="19">
        <f>PRICE_PER_BED_MES</f>
        <v/>
      </c>
      <c r="AB14" s="22">
        <f>IF(Z14&lt;=PRICE_PER_BED_MES,1,0)</f>
        <v/>
      </c>
      <c r="AC14" s="22">
        <f>AC13*AB14</f>
        <v/>
      </c>
    </row>
    <row r="15">
      <c r="A15" s="7" t="n">
        <v>8</v>
      </c>
      <c r="B15" s="11">
        <f>A15*HRS_PER_BED_WEEK_TOM*WEEKS*(1+DIM_PCT_TOM)^A15</f>
        <v/>
      </c>
      <c r="C15" s="19">
        <f>MIN(B15,FARMER_FIELD_HRS)*FARMER_RATE+MAX(0,B15-FARMER_FIELD_HRS)*TEMP_RATE</f>
        <v/>
      </c>
      <c r="D15" s="19">
        <f>A15*FERTILIZER_PER_BED_TOM</f>
        <v/>
      </c>
      <c r="E15" s="19">
        <f>C15+D15</f>
        <v/>
      </c>
      <c r="F15" s="19">
        <f>E15-E14</f>
        <v/>
      </c>
      <c r="G15" s="19">
        <f>PRICE_PER_BED_TOM</f>
        <v/>
      </c>
      <c r="H15" s="22">
        <f>IF(F15&lt;=PRICE_PER_BED_TOM,1,0)</f>
        <v/>
      </c>
      <c r="I15" s="22">
        <f>I14*H15</f>
        <v/>
      </c>
      <c r="K15" s="7" t="n">
        <v>8</v>
      </c>
      <c r="L15" s="11">
        <f>K15*HRS_PER_BED_WEEK_CAR*WEEKS*(1+DIM_PCT_CAR)^K15</f>
        <v/>
      </c>
      <c r="M15" s="19">
        <f>MIN(L15,FARMER_FIELD_HRS)*FARMER_RATE+MAX(0,L15-FARMER_FIELD_HRS)*TEMP_RATE</f>
        <v/>
      </c>
      <c r="N15" s="19">
        <f>K15*FERTILIZER_PER_BED_CAR</f>
        <v/>
      </c>
      <c r="O15" s="19">
        <f>M15+N15</f>
        <v/>
      </c>
      <c r="P15" s="19">
        <f>O15-O14</f>
        <v/>
      </c>
      <c r="Q15" s="19">
        <f>PRICE_PER_BED_CAR</f>
        <v/>
      </c>
      <c r="R15" s="22">
        <f>IF(P15&lt;=PRICE_PER_BED_CAR,1,0)</f>
        <v/>
      </c>
      <c r="S15" s="22">
        <f>S14*R15</f>
        <v/>
      </c>
      <c r="U15" s="7" t="n">
        <v>8</v>
      </c>
      <c r="V15" s="11">
        <f>U15*HRS_PER_BED_WEEK_MES*WEEKS*(1+DIM_PCT_MES)^U15</f>
        <v/>
      </c>
      <c r="W15" s="19">
        <f>MIN(V15,FARMER_FIELD_HRS)*FARMER_RATE+MAX(0,V15-FARMER_FIELD_HRS)*TEMP_RATE</f>
        <v/>
      </c>
      <c r="X15" s="19">
        <f>U15*FERTILIZER_PER_BED_MES</f>
        <v/>
      </c>
      <c r="Y15" s="19">
        <f>W15+X15</f>
        <v/>
      </c>
      <c r="Z15" s="19">
        <f>Y15-Y14</f>
        <v/>
      </c>
      <c r="AA15" s="19">
        <f>PRICE_PER_BED_MES</f>
        <v/>
      </c>
      <c r="AB15" s="22">
        <f>IF(Z15&lt;=PRICE_PER_BED_MES,1,0)</f>
        <v/>
      </c>
      <c r="AC15" s="22">
        <f>AC14*AB15</f>
        <v/>
      </c>
    </row>
    <row r="16">
      <c r="A16" s="7" t="n">
        <v>9</v>
      </c>
      <c r="B16" s="11">
        <f>A16*HRS_PER_BED_WEEK_TOM*WEEKS*(1+DIM_PCT_TOM)^A16</f>
        <v/>
      </c>
      <c r="C16" s="19">
        <f>MIN(B16,FARMER_FIELD_HRS)*FARMER_RATE+MAX(0,B16-FARMER_FIELD_HRS)*TEMP_RATE</f>
        <v/>
      </c>
      <c r="D16" s="19">
        <f>A16*FERTILIZER_PER_BED_TOM</f>
        <v/>
      </c>
      <c r="E16" s="19">
        <f>C16+D16</f>
        <v/>
      </c>
      <c r="F16" s="19">
        <f>E16-E15</f>
        <v/>
      </c>
      <c r="G16" s="19">
        <f>PRICE_PER_BED_TOM</f>
        <v/>
      </c>
      <c r="H16" s="22">
        <f>IF(F16&lt;=PRICE_PER_BED_TOM,1,0)</f>
        <v/>
      </c>
      <c r="I16" s="22">
        <f>I15*H16</f>
        <v/>
      </c>
      <c r="K16" s="7" t="n">
        <v>9</v>
      </c>
      <c r="L16" s="11">
        <f>K16*HRS_PER_BED_WEEK_CAR*WEEKS*(1+DIM_PCT_CAR)^K16</f>
        <v/>
      </c>
      <c r="M16" s="19">
        <f>MIN(L16,FARMER_FIELD_HRS)*FARMER_RATE+MAX(0,L16-FARMER_FIELD_HRS)*TEMP_RATE</f>
        <v/>
      </c>
      <c r="N16" s="19">
        <f>K16*FERTILIZER_PER_BED_CAR</f>
        <v/>
      </c>
      <c r="O16" s="19">
        <f>M16+N16</f>
        <v/>
      </c>
      <c r="P16" s="19">
        <f>O16-O15</f>
        <v/>
      </c>
      <c r="Q16" s="19">
        <f>PRICE_PER_BED_CAR</f>
        <v/>
      </c>
      <c r="R16" s="22">
        <f>IF(P16&lt;=PRICE_PER_BED_CAR,1,0)</f>
        <v/>
      </c>
      <c r="S16" s="22">
        <f>S15*R16</f>
        <v/>
      </c>
      <c r="U16" s="7" t="n">
        <v>9</v>
      </c>
      <c r="V16" s="11">
        <f>U16*HRS_PER_BED_WEEK_MES*WEEKS*(1+DIM_PCT_MES)^U16</f>
        <v/>
      </c>
      <c r="W16" s="19">
        <f>MIN(V16,FARMER_FIELD_HRS)*FARMER_RATE+MAX(0,V16-FARMER_FIELD_HRS)*TEMP_RATE</f>
        <v/>
      </c>
      <c r="X16" s="19">
        <f>U16*FERTILIZER_PER_BED_MES</f>
        <v/>
      </c>
      <c r="Y16" s="19">
        <f>W16+X16</f>
        <v/>
      </c>
      <c r="Z16" s="19">
        <f>Y16-Y15</f>
        <v/>
      </c>
      <c r="AA16" s="19">
        <f>PRICE_PER_BED_MES</f>
        <v/>
      </c>
      <c r="AB16" s="22">
        <f>IF(Z16&lt;=PRICE_PER_BED_MES,1,0)</f>
        <v/>
      </c>
      <c r="AC16" s="22">
        <f>AC15*AB16</f>
        <v/>
      </c>
    </row>
    <row r="17">
      <c r="A17" s="7" t="n">
        <v>10</v>
      </c>
      <c r="B17" s="11">
        <f>A17*HRS_PER_BED_WEEK_TOM*WEEKS*(1+DIM_PCT_TOM)^A17</f>
        <v/>
      </c>
      <c r="C17" s="19">
        <f>MIN(B17,FARMER_FIELD_HRS)*FARMER_RATE+MAX(0,B17-FARMER_FIELD_HRS)*TEMP_RATE</f>
        <v/>
      </c>
      <c r="D17" s="19">
        <f>A17*FERTILIZER_PER_BED_TOM</f>
        <v/>
      </c>
      <c r="E17" s="19">
        <f>C17+D17</f>
        <v/>
      </c>
      <c r="F17" s="19">
        <f>E17-E16</f>
        <v/>
      </c>
      <c r="G17" s="19">
        <f>PRICE_PER_BED_TOM</f>
        <v/>
      </c>
      <c r="H17" s="22">
        <f>IF(F17&lt;=PRICE_PER_BED_TOM,1,0)</f>
        <v/>
      </c>
      <c r="I17" s="22">
        <f>I16*H17</f>
        <v/>
      </c>
      <c r="K17" s="7" t="n">
        <v>10</v>
      </c>
      <c r="L17" s="11">
        <f>K17*HRS_PER_BED_WEEK_CAR*WEEKS*(1+DIM_PCT_CAR)^K17</f>
        <v/>
      </c>
      <c r="M17" s="19">
        <f>MIN(L17,FARMER_FIELD_HRS)*FARMER_RATE+MAX(0,L17-FARMER_FIELD_HRS)*TEMP_RATE</f>
        <v/>
      </c>
      <c r="N17" s="19">
        <f>K17*FERTILIZER_PER_BED_CAR</f>
        <v/>
      </c>
      <c r="O17" s="19">
        <f>M17+N17</f>
        <v/>
      </c>
      <c r="P17" s="19">
        <f>O17-O16</f>
        <v/>
      </c>
      <c r="Q17" s="19">
        <f>PRICE_PER_BED_CAR</f>
        <v/>
      </c>
      <c r="R17" s="22">
        <f>IF(P17&lt;=PRICE_PER_BED_CAR,1,0)</f>
        <v/>
      </c>
      <c r="S17" s="22">
        <f>S16*R17</f>
        <v/>
      </c>
      <c r="U17" s="7" t="n">
        <v>10</v>
      </c>
      <c r="V17" s="11">
        <f>U17*HRS_PER_BED_WEEK_MES*WEEKS*(1+DIM_PCT_MES)^U17</f>
        <v/>
      </c>
      <c r="W17" s="19">
        <f>MIN(V17,FARMER_FIELD_HRS)*FARMER_RATE+MAX(0,V17-FARMER_FIELD_HRS)*TEMP_RATE</f>
        <v/>
      </c>
      <c r="X17" s="19">
        <f>U17*FERTILIZER_PER_BED_MES</f>
        <v/>
      </c>
      <c r="Y17" s="19">
        <f>W17+X17</f>
        <v/>
      </c>
      <c r="Z17" s="19">
        <f>Y17-Y16</f>
        <v/>
      </c>
      <c r="AA17" s="19">
        <f>PRICE_PER_BED_MES</f>
        <v/>
      </c>
      <c r="AB17" s="22">
        <f>IF(Z17&lt;=PRICE_PER_BED_MES,1,0)</f>
        <v/>
      </c>
      <c r="AC17" s="22">
        <f>AC16*AB17</f>
        <v/>
      </c>
    </row>
    <row r="18">
      <c r="A18" s="7" t="n">
        <v>11</v>
      </c>
      <c r="B18" s="11">
        <f>A18*HRS_PER_BED_WEEK_TOM*WEEKS*(1+DIM_PCT_TOM)^A18</f>
        <v/>
      </c>
      <c r="C18" s="19">
        <f>MIN(B18,FARMER_FIELD_HRS)*FARMER_RATE+MAX(0,B18-FARMER_FIELD_HRS)*TEMP_RATE</f>
        <v/>
      </c>
      <c r="D18" s="19">
        <f>A18*FERTILIZER_PER_BED_TOM</f>
        <v/>
      </c>
      <c r="E18" s="19">
        <f>C18+D18</f>
        <v/>
      </c>
      <c r="F18" s="19">
        <f>E18-E17</f>
        <v/>
      </c>
      <c r="G18" s="19">
        <f>PRICE_PER_BED_TOM</f>
        <v/>
      </c>
      <c r="H18" s="22">
        <f>IF(F18&lt;=PRICE_PER_BED_TOM,1,0)</f>
        <v/>
      </c>
      <c r="I18" s="22">
        <f>I17*H18</f>
        <v/>
      </c>
      <c r="K18" s="7" t="n">
        <v>11</v>
      </c>
      <c r="L18" s="11">
        <f>K18*HRS_PER_BED_WEEK_CAR*WEEKS*(1+DIM_PCT_CAR)^K18</f>
        <v/>
      </c>
      <c r="M18" s="19">
        <f>MIN(L18,FARMER_FIELD_HRS)*FARMER_RATE+MAX(0,L18-FARMER_FIELD_HRS)*TEMP_RATE</f>
        <v/>
      </c>
      <c r="N18" s="19">
        <f>K18*FERTILIZER_PER_BED_CAR</f>
        <v/>
      </c>
      <c r="O18" s="19">
        <f>M18+N18</f>
        <v/>
      </c>
      <c r="P18" s="19">
        <f>O18-O17</f>
        <v/>
      </c>
      <c r="Q18" s="19">
        <f>PRICE_PER_BED_CAR</f>
        <v/>
      </c>
      <c r="R18" s="22">
        <f>IF(P18&lt;=PRICE_PER_BED_CAR,1,0)</f>
        <v/>
      </c>
      <c r="S18" s="22">
        <f>S17*R18</f>
        <v/>
      </c>
      <c r="U18" s="7" t="n">
        <v>11</v>
      </c>
      <c r="V18" s="11">
        <f>U18*HRS_PER_BED_WEEK_MES*WEEKS*(1+DIM_PCT_MES)^U18</f>
        <v/>
      </c>
      <c r="W18" s="19">
        <f>MIN(V18,FARMER_FIELD_HRS)*FARMER_RATE+MAX(0,V18-FARMER_FIELD_HRS)*TEMP_RATE</f>
        <v/>
      </c>
      <c r="X18" s="19">
        <f>U18*FERTILIZER_PER_BED_MES</f>
        <v/>
      </c>
      <c r="Y18" s="19">
        <f>W18+X18</f>
        <v/>
      </c>
      <c r="Z18" s="19">
        <f>Y18-Y17</f>
        <v/>
      </c>
      <c r="AA18" s="19">
        <f>PRICE_PER_BED_MES</f>
        <v/>
      </c>
      <c r="AB18" s="22">
        <f>IF(Z18&lt;=PRICE_PER_BED_MES,1,0)</f>
        <v/>
      </c>
      <c r="AC18" s="22">
        <f>AC17*AB18</f>
        <v/>
      </c>
    </row>
    <row r="19">
      <c r="A19" s="7" t="n">
        <v>12</v>
      </c>
      <c r="B19" s="11">
        <f>A19*HRS_PER_BED_WEEK_TOM*WEEKS*(1+DIM_PCT_TOM)^A19</f>
        <v/>
      </c>
      <c r="C19" s="19">
        <f>MIN(B19,FARMER_FIELD_HRS)*FARMER_RATE+MAX(0,B19-FARMER_FIELD_HRS)*TEMP_RATE</f>
        <v/>
      </c>
      <c r="D19" s="19">
        <f>A19*FERTILIZER_PER_BED_TOM</f>
        <v/>
      </c>
      <c r="E19" s="19">
        <f>C19+D19</f>
        <v/>
      </c>
      <c r="F19" s="19">
        <f>E19-E18</f>
        <v/>
      </c>
      <c r="G19" s="19">
        <f>PRICE_PER_BED_TOM</f>
        <v/>
      </c>
      <c r="H19" s="22">
        <f>IF(F19&lt;=PRICE_PER_BED_TOM,1,0)</f>
        <v/>
      </c>
      <c r="I19" s="22">
        <f>I18*H19</f>
        <v/>
      </c>
      <c r="K19" s="7" t="n">
        <v>12</v>
      </c>
      <c r="L19" s="11">
        <f>K19*HRS_PER_BED_WEEK_CAR*WEEKS*(1+DIM_PCT_CAR)^K19</f>
        <v/>
      </c>
      <c r="M19" s="19">
        <f>MIN(L19,FARMER_FIELD_HRS)*FARMER_RATE+MAX(0,L19-FARMER_FIELD_HRS)*TEMP_RATE</f>
        <v/>
      </c>
      <c r="N19" s="19">
        <f>K19*FERTILIZER_PER_BED_CAR</f>
        <v/>
      </c>
      <c r="O19" s="19">
        <f>M19+N19</f>
        <v/>
      </c>
      <c r="P19" s="19">
        <f>O19-O18</f>
        <v/>
      </c>
      <c r="Q19" s="19">
        <f>PRICE_PER_BED_CAR</f>
        <v/>
      </c>
      <c r="R19" s="22">
        <f>IF(P19&lt;=PRICE_PER_BED_CAR,1,0)</f>
        <v/>
      </c>
      <c r="S19" s="22">
        <f>S18*R19</f>
        <v/>
      </c>
      <c r="U19" s="7" t="n">
        <v>12</v>
      </c>
      <c r="V19" s="11">
        <f>U19*HRS_PER_BED_WEEK_MES*WEEKS*(1+DIM_PCT_MES)^U19</f>
        <v/>
      </c>
      <c r="W19" s="19">
        <f>MIN(V19,FARMER_FIELD_HRS)*FARMER_RATE+MAX(0,V19-FARMER_FIELD_HRS)*TEMP_RATE</f>
        <v/>
      </c>
      <c r="X19" s="19">
        <f>U19*FERTILIZER_PER_BED_MES</f>
        <v/>
      </c>
      <c r="Y19" s="19">
        <f>W19+X19</f>
        <v/>
      </c>
      <c r="Z19" s="19">
        <f>Y19-Y18</f>
        <v/>
      </c>
      <c r="AA19" s="19">
        <f>PRICE_PER_BED_MES</f>
        <v/>
      </c>
      <c r="AB19" s="22">
        <f>IF(Z19&lt;=PRICE_PER_BED_MES,1,0)</f>
        <v/>
      </c>
      <c r="AC19" s="22">
        <f>AC18*AB19</f>
        <v/>
      </c>
    </row>
    <row r="20">
      <c r="A20" s="7" t="n">
        <v>13</v>
      </c>
      <c r="B20" s="11">
        <f>A20*HRS_PER_BED_WEEK_TOM*WEEKS*(1+DIM_PCT_TOM)^A20</f>
        <v/>
      </c>
      <c r="C20" s="19">
        <f>MIN(B20,FARMER_FIELD_HRS)*FARMER_RATE+MAX(0,B20-FARMER_FIELD_HRS)*TEMP_RATE</f>
        <v/>
      </c>
      <c r="D20" s="19">
        <f>A20*FERTILIZER_PER_BED_TOM</f>
        <v/>
      </c>
      <c r="E20" s="19">
        <f>C20+D20</f>
        <v/>
      </c>
      <c r="F20" s="19">
        <f>E20-E19</f>
        <v/>
      </c>
      <c r="G20" s="19">
        <f>PRICE_PER_BED_TOM</f>
        <v/>
      </c>
      <c r="H20" s="22">
        <f>IF(F20&lt;=PRICE_PER_BED_TOM,1,0)</f>
        <v/>
      </c>
      <c r="I20" s="22">
        <f>I19*H20</f>
        <v/>
      </c>
      <c r="K20" s="7" t="n">
        <v>13</v>
      </c>
      <c r="L20" s="11">
        <f>K20*HRS_PER_BED_WEEK_CAR*WEEKS*(1+DIM_PCT_CAR)^K20</f>
        <v/>
      </c>
      <c r="M20" s="19">
        <f>MIN(L20,FARMER_FIELD_HRS)*FARMER_RATE+MAX(0,L20-FARMER_FIELD_HRS)*TEMP_RATE</f>
        <v/>
      </c>
      <c r="N20" s="19">
        <f>K20*FERTILIZER_PER_BED_CAR</f>
        <v/>
      </c>
      <c r="O20" s="19">
        <f>M20+N20</f>
        <v/>
      </c>
      <c r="P20" s="19">
        <f>O20-O19</f>
        <v/>
      </c>
      <c r="Q20" s="19">
        <f>PRICE_PER_BED_CAR</f>
        <v/>
      </c>
      <c r="R20" s="22">
        <f>IF(P20&lt;=PRICE_PER_BED_CAR,1,0)</f>
        <v/>
      </c>
      <c r="S20" s="22">
        <f>S19*R20</f>
        <v/>
      </c>
      <c r="U20" s="7" t="n">
        <v>13</v>
      </c>
      <c r="V20" s="11">
        <f>U20*HRS_PER_BED_WEEK_MES*WEEKS*(1+DIM_PCT_MES)^U20</f>
        <v/>
      </c>
      <c r="W20" s="19">
        <f>MIN(V20,FARMER_FIELD_HRS)*FARMER_RATE+MAX(0,V20-FARMER_FIELD_HRS)*TEMP_RATE</f>
        <v/>
      </c>
      <c r="X20" s="19">
        <f>U20*FERTILIZER_PER_BED_MES</f>
        <v/>
      </c>
      <c r="Y20" s="19">
        <f>W20+X20</f>
        <v/>
      </c>
      <c r="Z20" s="19">
        <f>Y20-Y19</f>
        <v/>
      </c>
      <c r="AA20" s="19">
        <f>PRICE_PER_BED_MES</f>
        <v/>
      </c>
      <c r="AB20" s="22">
        <f>IF(Z20&lt;=PRICE_PER_BED_MES,1,0)</f>
        <v/>
      </c>
      <c r="AC20" s="22">
        <f>AC19*AB20</f>
        <v/>
      </c>
    </row>
    <row r="21">
      <c r="A21" s="7" t="n">
        <v>14</v>
      </c>
      <c r="B21" s="11">
        <f>A21*HRS_PER_BED_WEEK_TOM*WEEKS*(1+DIM_PCT_TOM)^A21</f>
        <v/>
      </c>
      <c r="C21" s="19">
        <f>MIN(B21,FARMER_FIELD_HRS)*FARMER_RATE+MAX(0,B21-FARMER_FIELD_HRS)*TEMP_RATE</f>
        <v/>
      </c>
      <c r="D21" s="19">
        <f>A21*FERTILIZER_PER_BED_TOM</f>
        <v/>
      </c>
      <c r="E21" s="19">
        <f>C21+D21</f>
        <v/>
      </c>
      <c r="F21" s="19">
        <f>E21-E20</f>
        <v/>
      </c>
      <c r="G21" s="19">
        <f>PRICE_PER_BED_TOM</f>
        <v/>
      </c>
      <c r="H21" s="22">
        <f>IF(F21&lt;=PRICE_PER_BED_TOM,1,0)</f>
        <v/>
      </c>
      <c r="I21" s="22">
        <f>I20*H21</f>
        <v/>
      </c>
      <c r="K21" s="7" t="n">
        <v>14</v>
      </c>
      <c r="L21" s="11">
        <f>K21*HRS_PER_BED_WEEK_CAR*WEEKS*(1+DIM_PCT_CAR)^K21</f>
        <v/>
      </c>
      <c r="M21" s="19">
        <f>MIN(L21,FARMER_FIELD_HRS)*FARMER_RATE+MAX(0,L21-FARMER_FIELD_HRS)*TEMP_RATE</f>
        <v/>
      </c>
      <c r="N21" s="19">
        <f>K21*FERTILIZER_PER_BED_CAR</f>
        <v/>
      </c>
      <c r="O21" s="19">
        <f>M21+N21</f>
        <v/>
      </c>
      <c r="P21" s="19">
        <f>O21-O20</f>
        <v/>
      </c>
      <c r="Q21" s="19">
        <f>PRICE_PER_BED_CAR</f>
        <v/>
      </c>
      <c r="R21" s="22">
        <f>IF(P21&lt;=PRICE_PER_BED_CAR,1,0)</f>
        <v/>
      </c>
      <c r="S21" s="22">
        <f>S20*R21</f>
        <v/>
      </c>
      <c r="U21" s="7" t="n">
        <v>14</v>
      </c>
      <c r="V21" s="11">
        <f>U21*HRS_PER_BED_WEEK_MES*WEEKS*(1+DIM_PCT_MES)^U21</f>
        <v/>
      </c>
      <c r="W21" s="19">
        <f>MIN(V21,FARMER_FIELD_HRS)*FARMER_RATE+MAX(0,V21-FARMER_FIELD_HRS)*TEMP_RATE</f>
        <v/>
      </c>
      <c r="X21" s="19">
        <f>U21*FERTILIZER_PER_BED_MES</f>
        <v/>
      </c>
      <c r="Y21" s="19">
        <f>W21+X21</f>
        <v/>
      </c>
      <c r="Z21" s="19">
        <f>Y21-Y20</f>
        <v/>
      </c>
      <c r="AA21" s="19">
        <f>PRICE_PER_BED_MES</f>
        <v/>
      </c>
      <c r="AB21" s="22">
        <f>IF(Z21&lt;=PRICE_PER_BED_MES,1,0)</f>
        <v/>
      </c>
      <c r="AC21" s="22">
        <f>AC20*AB21</f>
        <v/>
      </c>
    </row>
    <row r="22">
      <c r="A22" s="7" t="n">
        <v>15</v>
      </c>
      <c r="B22" s="11">
        <f>A22*HRS_PER_BED_WEEK_TOM*WEEKS*(1+DIM_PCT_TOM)^A22</f>
        <v/>
      </c>
      <c r="C22" s="19">
        <f>MIN(B22,FARMER_FIELD_HRS)*FARMER_RATE+MAX(0,B22-FARMER_FIELD_HRS)*TEMP_RATE</f>
        <v/>
      </c>
      <c r="D22" s="19">
        <f>A22*FERTILIZER_PER_BED_TOM</f>
        <v/>
      </c>
      <c r="E22" s="19">
        <f>C22+D22</f>
        <v/>
      </c>
      <c r="F22" s="19">
        <f>E22-E21</f>
        <v/>
      </c>
      <c r="G22" s="19">
        <f>PRICE_PER_BED_TOM</f>
        <v/>
      </c>
      <c r="H22" s="22">
        <f>IF(F22&lt;=PRICE_PER_BED_TOM,1,0)</f>
        <v/>
      </c>
      <c r="I22" s="22">
        <f>I21*H22</f>
        <v/>
      </c>
      <c r="K22" s="7" t="n">
        <v>15</v>
      </c>
      <c r="L22" s="11">
        <f>K22*HRS_PER_BED_WEEK_CAR*WEEKS*(1+DIM_PCT_CAR)^K22</f>
        <v/>
      </c>
      <c r="M22" s="19">
        <f>MIN(L22,FARMER_FIELD_HRS)*FARMER_RATE+MAX(0,L22-FARMER_FIELD_HRS)*TEMP_RATE</f>
        <v/>
      </c>
      <c r="N22" s="19">
        <f>K22*FERTILIZER_PER_BED_CAR</f>
        <v/>
      </c>
      <c r="O22" s="19">
        <f>M22+N22</f>
        <v/>
      </c>
      <c r="P22" s="19">
        <f>O22-O21</f>
        <v/>
      </c>
      <c r="Q22" s="19">
        <f>PRICE_PER_BED_CAR</f>
        <v/>
      </c>
      <c r="R22" s="22">
        <f>IF(P22&lt;=PRICE_PER_BED_CAR,1,0)</f>
        <v/>
      </c>
      <c r="S22" s="22">
        <f>S21*R22</f>
        <v/>
      </c>
      <c r="U22" s="7" t="n">
        <v>15</v>
      </c>
      <c r="V22" s="11">
        <f>U22*HRS_PER_BED_WEEK_MES*WEEKS*(1+DIM_PCT_MES)^U22</f>
        <v/>
      </c>
      <c r="W22" s="19">
        <f>MIN(V22,FARMER_FIELD_HRS)*FARMER_RATE+MAX(0,V22-FARMER_FIELD_HRS)*TEMP_RATE</f>
        <v/>
      </c>
      <c r="X22" s="19">
        <f>U22*FERTILIZER_PER_BED_MES</f>
        <v/>
      </c>
      <c r="Y22" s="19">
        <f>W22+X22</f>
        <v/>
      </c>
      <c r="Z22" s="19">
        <f>Y22-Y21</f>
        <v/>
      </c>
      <c r="AA22" s="19">
        <f>PRICE_PER_BED_MES</f>
        <v/>
      </c>
      <c r="AB22" s="22">
        <f>IF(Z22&lt;=PRICE_PER_BED_MES,1,0)</f>
        <v/>
      </c>
      <c r="AC22" s="22">
        <f>AC21*AB22</f>
        <v/>
      </c>
    </row>
    <row r="23">
      <c r="A23" s="7" t="n">
        <v>16</v>
      </c>
      <c r="B23" s="11">
        <f>A23*HRS_PER_BED_WEEK_TOM*WEEKS*(1+DIM_PCT_TOM)^A23</f>
        <v/>
      </c>
      <c r="C23" s="19">
        <f>MIN(B23,FARMER_FIELD_HRS)*FARMER_RATE+MAX(0,B23-FARMER_FIELD_HRS)*TEMP_RATE</f>
        <v/>
      </c>
      <c r="D23" s="19">
        <f>A23*FERTILIZER_PER_BED_TOM</f>
        <v/>
      </c>
      <c r="E23" s="19">
        <f>C23+D23</f>
        <v/>
      </c>
      <c r="F23" s="19">
        <f>E23-E22</f>
        <v/>
      </c>
      <c r="G23" s="19">
        <f>PRICE_PER_BED_TOM</f>
        <v/>
      </c>
      <c r="H23" s="22">
        <f>IF(F23&lt;=PRICE_PER_BED_TOM,1,0)</f>
        <v/>
      </c>
      <c r="I23" s="22">
        <f>I22*H23</f>
        <v/>
      </c>
      <c r="K23" s="7" t="n">
        <v>16</v>
      </c>
      <c r="L23" s="11">
        <f>K23*HRS_PER_BED_WEEK_CAR*WEEKS*(1+DIM_PCT_CAR)^K23</f>
        <v/>
      </c>
      <c r="M23" s="19">
        <f>MIN(L23,FARMER_FIELD_HRS)*FARMER_RATE+MAX(0,L23-FARMER_FIELD_HRS)*TEMP_RATE</f>
        <v/>
      </c>
      <c r="N23" s="19">
        <f>K23*FERTILIZER_PER_BED_CAR</f>
        <v/>
      </c>
      <c r="O23" s="19">
        <f>M23+N23</f>
        <v/>
      </c>
      <c r="P23" s="19">
        <f>O23-O22</f>
        <v/>
      </c>
      <c r="Q23" s="19">
        <f>PRICE_PER_BED_CAR</f>
        <v/>
      </c>
      <c r="R23" s="22">
        <f>IF(P23&lt;=PRICE_PER_BED_CAR,1,0)</f>
        <v/>
      </c>
      <c r="S23" s="22">
        <f>S22*R23</f>
        <v/>
      </c>
      <c r="U23" s="7" t="n">
        <v>16</v>
      </c>
      <c r="V23" s="11">
        <f>U23*HRS_PER_BED_WEEK_MES*WEEKS*(1+DIM_PCT_MES)^U23</f>
        <v/>
      </c>
      <c r="W23" s="19">
        <f>MIN(V23,FARMER_FIELD_HRS)*FARMER_RATE+MAX(0,V23-FARMER_FIELD_HRS)*TEMP_RATE</f>
        <v/>
      </c>
      <c r="X23" s="19">
        <f>U23*FERTILIZER_PER_BED_MES</f>
        <v/>
      </c>
      <c r="Y23" s="19">
        <f>W23+X23</f>
        <v/>
      </c>
      <c r="Z23" s="19">
        <f>Y23-Y22</f>
        <v/>
      </c>
      <c r="AA23" s="19">
        <f>PRICE_PER_BED_MES</f>
        <v/>
      </c>
      <c r="AB23" s="22">
        <f>IF(Z23&lt;=PRICE_PER_BED_MES,1,0)</f>
        <v/>
      </c>
      <c r="AC23" s="22">
        <f>AC22*AB23</f>
        <v/>
      </c>
    </row>
    <row r="24">
      <c r="A24" s="7" t="n">
        <v>17</v>
      </c>
      <c r="B24" s="11">
        <f>A24*HRS_PER_BED_WEEK_TOM*WEEKS*(1+DIM_PCT_TOM)^A24</f>
        <v/>
      </c>
      <c r="C24" s="19">
        <f>MIN(B24,FARMER_FIELD_HRS)*FARMER_RATE+MAX(0,B24-FARMER_FIELD_HRS)*TEMP_RATE</f>
        <v/>
      </c>
      <c r="D24" s="19">
        <f>A24*FERTILIZER_PER_BED_TOM</f>
        <v/>
      </c>
      <c r="E24" s="19">
        <f>C24+D24</f>
        <v/>
      </c>
      <c r="F24" s="19">
        <f>E24-E23</f>
        <v/>
      </c>
      <c r="G24" s="19">
        <f>PRICE_PER_BED_TOM</f>
        <v/>
      </c>
      <c r="H24" s="22">
        <f>IF(F24&lt;=PRICE_PER_BED_TOM,1,0)</f>
        <v/>
      </c>
      <c r="I24" s="22">
        <f>I23*H24</f>
        <v/>
      </c>
      <c r="K24" s="7" t="n">
        <v>17</v>
      </c>
      <c r="L24" s="11">
        <f>K24*HRS_PER_BED_WEEK_CAR*WEEKS*(1+DIM_PCT_CAR)^K24</f>
        <v/>
      </c>
      <c r="M24" s="19">
        <f>MIN(L24,FARMER_FIELD_HRS)*FARMER_RATE+MAX(0,L24-FARMER_FIELD_HRS)*TEMP_RATE</f>
        <v/>
      </c>
      <c r="N24" s="19">
        <f>K24*FERTILIZER_PER_BED_CAR</f>
        <v/>
      </c>
      <c r="O24" s="19">
        <f>M24+N24</f>
        <v/>
      </c>
      <c r="P24" s="19">
        <f>O24-O23</f>
        <v/>
      </c>
      <c r="Q24" s="19">
        <f>PRICE_PER_BED_CAR</f>
        <v/>
      </c>
      <c r="R24" s="22">
        <f>IF(P24&lt;=PRICE_PER_BED_CAR,1,0)</f>
        <v/>
      </c>
      <c r="S24" s="22">
        <f>S23*R24</f>
        <v/>
      </c>
      <c r="U24" s="7" t="n">
        <v>17</v>
      </c>
      <c r="V24" s="11">
        <f>U24*HRS_PER_BED_WEEK_MES*WEEKS*(1+DIM_PCT_MES)^U24</f>
        <v/>
      </c>
      <c r="W24" s="19">
        <f>MIN(V24,FARMER_FIELD_HRS)*FARMER_RATE+MAX(0,V24-FARMER_FIELD_HRS)*TEMP_RATE</f>
        <v/>
      </c>
      <c r="X24" s="19">
        <f>U24*FERTILIZER_PER_BED_MES</f>
        <v/>
      </c>
      <c r="Y24" s="19">
        <f>W24+X24</f>
        <v/>
      </c>
      <c r="Z24" s="19">
        <f>Y24-Y23</f>
        <v/>
      </c>
      <c r="AA24" s="19">
        <f>PRICE_PER_BED_MES</f>
        <v/>
      </c>
      <c r="AB24" s="22">
        <f>IF(Z24&lt;=PRICE_PER_BED_MES,1,0)</f>
        <v/>
      </c>
      <c r="AC24" s="22">
        <f>AC23*AB24</f>
        <v/>
      </c>
    </row>
    <row r="25">
      <c r="A25" s="7" t="n">
        <v>18</v>
      </c>
      <c r="B25" s="11">
        <f>A25*HRS_PER_BED_WEEK_TOM*WEEKS*(1+DIM_PCT_TOM)^A25</f>
        <v/>
      </c>
      <c r="C25" s="19">
        <f>MIN(B25,FARMER_FIELD_HRS)*FARMER_RATE+MAX(0,B25-FARMER_FIELD_HRS)*TEMP_RATE</f>
        <v/>
      </c>
      <c r="D25" s="19">
        <f>A25*FERTILIZER_PER_BED_TOM</f>
        <v/>
      </c>
      <c r="E25" s="19">
        <f>C25+D25</f>
        <v/>
      </c>
      <c r="F25" s="19">
        <f>E25-E24</f>
        <v/>
      </c>
      <c r="G25" s="19">
        <f>PRICE_PER_BED_TOM</f>
        <v/>
      </c>
      <c r="H25" s="22">
        <f>IF(F25&lt;=PRICE_PER_BED_TOM,1,0)</f>
        <v/>
      </c>
      <c r="I25" s="22">
        <f>I24*H25</f>
        <v/>
      </c>
      <c r="K25" s="7" t="n">
        <v>18</v>
      </c>
      <c r="L25" s="11">
        <f>K25*HRS_PER_BED_WEEK_CAR*WEEKS*(1+DIM_PCT_CAR)^K25</f>
        <v/>
      </c>
      <c r="M25" s="19">
        <f>MIN(L25,FARMER_FIELD_HRS)*FARMER_RATE+MAX(0,L25-FARMER_FIELD_HRS)*TEMP_RATE</f>
        <v/>
      </c>
      <c r="N25" s="19">
        <f>K25*FERTILIZER_PER_BED_CAR</f>
        <v/>
      </c>
      <c r="O25" s="19">
        <f>M25+N25</f>
        <v/>
      </c>
      <c r="P25" s="19">
        <f>O25-O24</f>
        <v/>
      </c>
      <c r="Q25" s="19">
        <f>PRICE_PER_BED_CAR</f>
        <v/>
      </c>
      <c r="R25" s="22">
        <f>IF(P25&lt;=PRICE_PER_BED_CAR,1,0)</f>
        <v/>
      </c>
      <c r="S25" s="22">
        <f>S24*R25</f>
        <v/>
      </c>
      <c r="U25" s="7" t="n">
        <v>18</v>
      </c>
      <c r="V25" s="11">
        <f>U25*HRS_PER_BED_WEEK_MES*WEEKS*(1+DIM_PCT_MES)^U25</f>
        <v/>
      </c>
      <c r="W25" s="19">
        <f>MIN(V25,FARMER_FIELD_HRS)*FARMER_RATE+MAX(0,V25-FARMER_FIELD_HRS)*TEMP_RATE</f>
        <v/>
      </c>
      <c r="X25" s="19">
        <f>U25*FERTILIZER_PER_BED_MES</f>
        <v/>
      </c>
      <c r="Y25" s="19">
        <f>W25+X25</f>
        <v/>
      </c>
      <c r="Z25" s="19">
        <f>Y25-Y24</f>
        <v/>
      </c>
      <c r="AA25" s="19">
        <f>PRICE_PER_BED_MES</f>
        <v/>
      </c>
      <c r="AB25" s="22">
        <f>IF(Z25&lt;=PRICE_PER_BED_MES,1,0)</f>
        <v/>
      </c>
      <c r="AC25" s="22">
        <f>AC24*AB25</f>
        <v/>
      </c>
    </row>
    <row r="26">
      <c r="A26" s="7" t="n">
        <v>19</v>
      </c>
      <c r="B26" s="11">
        <f>A26*HRS_PER_BED_WEEK_TOM*WEEKS*(1+DIM_PCT_TOM)^A26</f>
        <v/>
      </c>
      <c r="C26" s="19">
        <f>MIN(B26,FARMER_FIELD_HRS)*FARMER_RATE+MAX(0,B26-FARMER_FIELD_HRS)*TEMP_RATE</f>
        <v/>
      </c>
      <c r="D26" s="19">
        <f>A26*FERTILIZER_PER_BED_TOM</f>
        <v/>
      </c>
      <c r="E26" s="19">
        <f>C26+D26</f>
        <v/>
      </c>
      <c r="F26" s="19">
        <f>E26-E25</f>
        <v/>
      </c>
      <c r="G26" s="19">
        <f>PRICE_PER_BED_TOM</f>
        <v/>
      </c>
      <c r="H26" s="22">
        <f>IF(F26&lt;=PRICE_PER_BED_TOM,1,0)</f>
        <v/>
      </c>
      <c r="I26" s="22">
        <f>I25*H26</f>
        <v/>
      </c>
      <c r="K26" s="7" t="n">
        <v>19</v>
      </c>
      <c r="L26" s="11">
        <f>K26*HRS_PER_BED_WEEK_CAR*WEEKS*(1+DIM_PCT_CAR)^K26</f>
        <v/>
      </c>
      <c r="M26" s="19">
        <f>MIN(L26,FARMER_FIELD_HRS)*FARMER_RATE+MAX(0,L26-FARMER_FIELD_HRS)*TEMP_RATE</f>
        <v/>
      </c>
      <c r="N26" s="19">
        <f>K26*FERTILIZER_PER_BED_CAR</f>
        <v/>
      </c>
      <c r="O26" s="19">
        <f>M26+N26</f>
        <v/>
      </c>
      <c r="P26" s="19">
        <f>O26-O25</f>
        <v/>
      </c>
      <c r="Q26" s="19">
        <f>PRICE_PER_BED_CAR</f>
        <v/>
      </c>
      <c r="R26" s="22">
        <f>IF(P26&lt;=PRICE_PER_BED_CAR,1,0)</f>
        <v/>
      </c>
      <c r="S26" s="22">
        <f>S25*R26</f>
        <v/>
      </c>
      <c r="U26" s="7" t="n">
        <v>19</v>
      </c>
      <c r="V26" s="11">
        <f>U26*HRS_PER_BED_WEEK_MES*WEEKS*(1+DIM_PCT_MES)^U26</f>
        <v/>
      </c>
      <c r="W26" s="19">
        <f>MIN(V26,FARMER_FIELD_HRS)*FARMER_RATE+MAX(0,V26-FARMER_FIELD_HRS)*TEMP_RATE</f>
        <v/>
      </c>
      <c r="X26" s="19">
        <f>U26*FERTILIZER_PER_BED_MES</f>
        <v/>
      </c>
      <c r="Y26" s="19">
        <f>W26+X26</f>
        <v/>
      </c>
      <c r="Z26" s="19">
        <f>Y26-Y25</f>
        <v/>
      </c>
      <c r="AA26" s="19">
        <f>PRICE_PER_BED_MES</f>
        <v/>
      </c>
      <c r="AB26" s="22">
        <f>IF(Z26&lt;=PRICE_PER_BED_MES,1,0)</f>
        <v/>
      </c>
      <c r="AC26" s="22">
        <f>AC25*AB26</f>
        <v/>
      </c>
    </row>
    <row r="27">
      <c r="A27" s="7" t="n">
        <v>20</v>
      </c>
      <c r="B27" s="11">
        <f>A27*HRS_PER_BED_WEEK_TOM*WEEKS*(1+DIM_PCT_TOM)^A27</f>
        <v/>
      </c>
      <c r="C27" s="19">
        <f>MIN(B27,FARMER_FIELD_HRS)*FARMER_RATE+MAX(0,B27-FARMER_FIELD_HRS)*TEMP_RATE</f>
        <v/>
      </c>
      <c r="D27" s="19">
        <f>A27*FERTILIZER_PER_BED_TOM</f>
        <v/>
      </c>
      <c r="E27" s="19">
        <f>C27+D27</f>
        <v/>
      </c>
      <c r="F27" s="19">
        <f>E27-E26</f>
        <v/>
      </c>
      <c r="G27" s="19">
        <f>PRICE_PER_BED_TOM</f>
        <v/>
      </c>
      <c r="H27" s="22">
        <f>IF(F27&lt;=PRICE_PER_BED_TOM,1,0)</f>
        <v/>
      </c>
      <c r="I27" s="22">
        <f>I26*H27</f>
        <v/>
      </c>
      <c r="K27" s="7" t="n">
        <v>20</v>
      </c>
      <c r="L27" s="11">
        <f>K27*HRS_PER_BED_WEEK_CAR*WEEKS*(1+DIM_PCT_CAR)^K27</f>
        <v/>
      </c>
      <c r="M27" s="19">
        <f>MIN(L27,FARMER_FIELD_HRS)*FARMER_RATE+MAX(0,L27-FARMER_FIELD_HRS)*TEMP_RATE</f>
        <v/>
      </c>
      <c r="N27" s="19">
        <f>K27*FERTILIZER_PER_BED_CAR</f>
        <v/>
      </c>
      <c r="O27" s="19">
        <f>M27+N27</f>
        <v/>
      </c>
      <c r="P27" s="19">
        <f>O27-O26</f>
        <v/>
      </c>
      <c r="Q27" s="19">
        <f>PRICE_PER_BED_CAR</f>
        <v/>
      </c>
      <c r="R27" s="22">
        <f>IF(P27&lt;=PRICE_PER_BED_CAR,1,0)</f>
        <v/>
      </c>
      <c r="S27" s="22">
        <f>S26*R27</f>
        <v/>
      </c>
      <c r="U27" s="7" t="n">
        <v>20</v>
      </c>
      <c r="V27" s="11">
        <f>U27*HRS_PER_BED_WEEK_MES*WEEKS*(1+DIM_PCT_MES)^U27</f>
        <v/>
      </c>
      <c r="W27" s="19">
        <f>MIN(V27,FARMER_FIELD_HRS)*FARMER_RATE+MAX(0,V27-FARMER_FIELD_HRS)*TEMP_RATE</f>
        <v/>
      </c>
      <c r="X27" s="19">
        <f>U27*FERTILIZER_PER_BED_MES</f>
        <v/>
      </c>
      <c r="Y27" s="19">
        <f>W27+X27</f>
        <v/>
      </c>
      <c r="Z27" s="19">
        <f>Y27-Y26</f>
        <v/>
      </c>
      <c r="AA27" s="19">
        <f>PRICE_PER_BED_MES</f>
        <v/>
      </c>
      <c r="AB27" s="22">
        <f>IF(Z27&lt;=PRICE_PER_BED_MES,1,0)</f>
        <v/>
      </c>
      <c r="AC27" s="22">
        <f>AC26*AB27</f>
        <v/>
      </c>
    </row>
    <row r="28">
      <c r="U28" s="7" t="n">
        <v>21</v>
      </c>
      <c r="V28" s="11">
        <f>U28*HRS_PER_BED_WEEK_MES*WEEKS*(1+DIM_PCT_MES)^U28</f>
        <v/>
      </c>
      <c r="W28" s="19">
        <f>MIN(V28,FARMER_FIELD_HRS)*FARMER_RATE+MAX(0,V28-FARMER_FIELD_HRS)*TEMP_RATE</f>
        <v/>
      </c>
      <c r="X28" s="19">
        <f>U28*FERTILIZER_PER_BED_MES</f>
        <v/>
      </c>
      <c r="Y28" s="19">
        <f>W28+X28</f>
        <v/>
      </c>
      <c r="Z28" s="19">
        <f>Y28-Y27</f>
        <v/>
      </c>
      <c r="AA28" s="19">
        <f>PRICE_PER_BED_MES</f>
        <v/>
      </c>
      <c r="AB28" s="22">
        <f>IF(Z28&lt;=PRICE_PER_BED_MES,1,0)</f>
        <v/>
      </c>
      <c r="AC28" s="22">
        <f>AC27*AB28</f>
        <v/>
      </c>
    </row>
    <row r="29">
      <c r="A29" s="3" t="inlineStr">
        <is>
          <t>Standalone P = MC point</t>
        </is>
      </c>
      <c r="F29" s="23">
        <f>SUM(I8:I27)</f>
        <v/>
      </c>
      <c r="K29" s="3" t="inlineStr">
        <is>
          <t>Standalone P = MC point</t>
        </is>
      </c>
      <c r="P29" s="23">
        <f>SUM(S8:S27)</f>
        <v/>
      </c>
      <c r="U29" s="7" t="n">
        <v>22</v>
      </c>
      <c r="V29" s="11">
        <f>U29*HRS_PER_BED_WEEK_MES*WEEKS*(1+DIM_PCT_MES)^U29</f>
        <v/>
      </c>
      <c r="W29" s="19">
        <f>MIN(V29,FARMER_FIELD_HRS)*FARMER_RATE+MAX(0,V29-FARMER_FIELD_HRS)*TEMP_RATE</f>
        <v/>
      </c>
      <c r="X29" s="19">
        <f>U29*FERTILIZER_PER_BED_MES</f>
        <v/>
      </c>
      <c r="Y29" s="19">
        <f>W29+X29</f>
        <v/>
      </c>
      <c r="Z29" s="19">
        <f>Y29-Y28</f>
        <v/>
      </c>
      <c r="AA29" s="19">
        <f>PRICE_PER_BED_MES</f>
        <v/>
      </c>
      <c r="AB29" s="22">
        <f>IF(Z29&lt;=PRICE_PER_BED_MES,1,0)</f>
        <v/>
      </c>
      <c r="AC29" s="22">
        <f>AC28*AB29</f>
        <v/>
      </c>
    </row>
    <row r="30">
      <c r="A30" s="2" t="inlineStr">
        <is>
          <t>First crossing: the run of MC &lt;= P breaks here.</t>
        </is>
      </c>
      <c r="K30" s="2" t="inlineStr">
        <is>
          <t>First crossing: the run of MC &lt;= P breaks here.</t>
        </is>
      </c>
      <c r="U30" s="7" t="n">
        <v>23</v>
      </c>
      <c r="V30" s="11">
        <f>U30*HRS_PER_BED_WEEK_MES*WEEKS*(1+DIM_PCT_MES)^U30</f>
        <v/>
      </c>
      <c r="W30" s="19">
        <f>MIN(V30,FARMER_FIELD_HRS)*FARMER_RATE+MAX(0,V30-FARMER_FIELD_HRS)*TEMP_RATE</f>
        <v/>
      </c>
      <c r="X30" s="19">
        <f>U30*FERTILIZER_PER_BED_MES</f>
        <v/>
      </c>
      <c r="Y30" s="19">
        <f>W30+X30</f>
        <v/>
      </c>
      <c r="Z30" s="19">
        <f>Y30-Y29</f>
        <v/>
      </c>
      <c r="AA30" s="19">
        <f>PRICE_PER_BED_MES</f>
        <v/>
      </c>
      <c r="AB30" s="22">
        <f>IF(Z30&lt;=PRICE_PER_BED_MES,1,0)</f>
        <v/>
      </c>
      <c r="AC30" s="22">
        <f>AC29*AB30</f>
        <v/>
      </c>
    </row>
    <row r="31">
      <c r="A31" s="2" t="inlineStr">
        <is>
          <t>MC is not monotonic — a later q can fall back below price. The run column enforces "first", not "last".</t>
        </is>
      </c>
      <c r="K31" s="2" t="inlineStr">
        <is>
          <t>MC is not monotonic — a later q can fall back below price. The run column enforces "first", not "last".</t>
        </is>
      </c>
      <c r="U31" s="7" t="n">
        <v>24</v>
      </c>
      <c r="V31" s="11">
        <f>U31*HRS_PER_BED_WEEK_MES*WEEKS*(1+DIM_PCT_MES)^U31</f>
        <v/>
      </c>
      <c r="W31" s="19">
        <f>MIN(V31,FARMER_FIELD_HRS)*FARMER_RATE+MAX(0,V31-FARMER_FIELD_HRS)*TEMP_RATE</f>
        <v/>
      </c>
      <c r="X31" s="19">
        <f>U31*FERTILIZER_PER_BED_MES</f>
        <v/>
      </c>
      <c r="Y31" s="19">
        <f>W31+X31</f>
        <v/>
      </c>
      <c r="Z31" s="19">
        <f>Y31-Y30</f>
        <v/>
      </c>
      <c r="AA31" s="19">
        <f>PRICE_PER_BED_MES</f>
        <v/>
      </c>
      <c r="AB31" s="22">
        <f>IF(Z31&lt;=PRICE_PER_BED_MES,1,0)</f>
        <v/>
      </c>
      <c r="AC31" s="22">
        <f>AC30*AB31</f>
        <v/>
      </c>
    </row>
    <row r="32">
      <c r="U32" s="7" t="n">
        <v>25</v>
      </c>
      <c r="V32" s="11">
        <f>U32*HRS_PER_BED_WEEK_MES*WEEKS*(1+DIM_PCT_MES)^U32</f>
        <v/>
      </c>
      <c r="W32" s="19">
        <f>MIN(V32,FARMER_FIELD_HRS)*FARMER_RATE+MAX(0,V32-FARMER_FIELD_HRS)*TEMP_RATE</f>
        <v/>
      </c>
      <c r="X32" s="19">
        <f>U32*FERTILIZER_PER_BED_MES</f>
        <v/>
      </c>
      <c r="Y32" s="19">
        <f>W32+X32</f>
        <v/>
      </c>
      <c r="Z32" s="19">
        <f>Y32-Y31</f>
        <v/>
      </c>
      <c r="AA32" s="19">
        <f>PRICE_PER_BED_MES</f>
        <v/>
      </c>
      <c r="AB32" s="22">
        <f>IF(Z32&lt;=PRICE_PER_BED_MES,1,0)</f>
        <v/>
      </c>
      <c r="AC32" s="22">
        <f>AC31*AB32</f>
        <v/>
      </c>
    </row>
    <row r="33">
      <c r="U33" s="7" t="n">
        <v>26</v>
      </c>
      <c r="V33" s="11">
        <f>U33*HRS_PER_BED_WEEK_MES*WEEKS*(1+DIM_PCT_MES)^U33</f>
        <v/>
      </c>
      <c r="W33" s="19">
        <f>MIN(V33,FARMER_FIELD_HRS)*FARMER_RATE+MAX(0,V33-FARMER_FIELD_HRS)*TEMP_RATE</f>
        <v/>
      </c>
      <c r="X33" s="19">
        <f>U33*FERTILIZER_PER_BED_MES</f>
        <v/>
      </c>
      <c r="Y33" s="19">
        <f>W33+X33</f>
        <v/>
      </c>
      <c r="Z33" s="19">
        <f>Y33-Y32</f>
        <v/>
      </c>
      <c r="AA33" s="19">
        <f>PRICE_PER_BED_MES</f>
        <v/>
      </c>
      <c r="AB33" s="22">
        <f>IF(Z33&lt;=PRICE_PER_BED_MES,1,0)</f>
        <v/>
      </c>
      <c r="AC33" s="22">
        <f>AC32*AB33</f>
        <v/>
      </c>
    </row>
    <row r="34">
      <c r="U34" s="7" t="n">
        <v>27</v>
      </c>
      <c r="V34" s="11">
        <f>U34*HRS_PER_BED_WEEK_MES*WEEKS*(1+DIM_PCT_MES)^U34</f>
        <v/>
      </c>
      <c r="W34" s="19">
        <f>MIN(V34,FARMER_FIELD_HRS)*FARMER_RATE+MAX(0,V34-FARMER_FIELD_HRS)*TEMP_RATE</f>
        <v/>
      </c>
      <c r="X34" s="19">
        <f>U34*FERTILIZER_PER_BED_MES</f>
        <v/>
      </c>
      <c r="Y34" s="19">
        <f>W34+X34</f>
        <v/>
      </c>
      <c r="Z34" s="19">
        <f>Y34-Y33</f>
        <v/>
      </c>
      <c r="AA34" s="19">
        <f>PRICE_PER_BED_MES</f>
        <v/>
      </c>
      <c r="AB34" s="22">
        <f>IF(Z34&lt;=PRICE_PER_BED_MES,1,0)</f>
        <v/>
      </c>
      <c r="AC34" s="22">
        <f>AC33*AB34</f>
        <v/>
      </c>
    </row>
    <row r="35">
      <c r="U35" s="7" t="n">
        <v>28</v>
      </c>
      <c r="V35" s="11">
        <f>U35*HRS_PER_BED_WEEK_MES*WEEKS*(1+DIM_PCT_MES)^U35</f>
        <v/>
      </c>
      <c r="W35" s="19">
        <f>MIN(V35,FARMER_FIELD_HRS)*FARMER_RATE+MAX(0,V35-FARMER_FIELD_HRS)*TEMP_RATE</f>
        <v/>
      </c>
      <c r="X35" s="19">
        <f>U35*FERTILIZER_PER_BED_MES</f>
        <v/>
      </c>
      <c r="Y35" s="19">
        <f>W35+X35</f>
        <v/>
      </c>
      <c r="Z35" s="19">
        <f>Y35-Y34</f>
        <v/>
      </c>
      <c r="AA35" s="19">
        <f>PRICE_PER_BED_MES</f>
        <v/>
      </c>
      <c r="AB35" s="22">
        <f>IF(Z35&lt;=PRICE_PER_BED_MES,1,0)</f>
        <v/>
      </c>
      <c r="AC35" s="22">
        <f>AC34*AB35</f>
        <v/>
      </c>
    </row>
    <row r="36">
      <c r="U36" s="7" t="n">
        <v>29</v>
      </c>
      <c r="V36" s="11">
        <f>U36*HRS_PER_BED_WEEK_MES*WEEKS*(1+DIM_PCT_MES)^U36</f>
        <v/>
      </c>
      <c r="W36" s="19">
        <f>MIN(V36,FARMER_FIELD_HRS)*FARMER_RATE+MAX(0,V36-FARMER_FIELD_HRS)*TEMP_RATE</f>
        <v/>
      </c>
      <c r="X36" s="19">
        <f>U36*FERTILIZER_PER_BED_MES</f>
        <v/>
      </c>
      <c r="Y36" s="19">
        <f>W36+X36</f>
        <v/>
      </c>
      <c r="Z36" s="19">
        <f>Y36-Y35</f>
        <v/>
      </c>
      <c r="AA36" s="19">
        <f>PRICE_PER_BED_MES</f>
        <v/>
      </c>
      <c r="AB36" s="22">
        <f>IF(Z36&lt;=PRICE_PER_BED_MES,1,0)</f>
        <v/>
      </c>
      <c r="AC36" s="22">
        <f>AC35*AB36</f>
        <v/>
      </c>
    </row>
    <row r="37">
      <c r="U37" s="7" t="n">
        <v>30</v>
      </c>
      <c r="V37" s="11">
        <f>U37*HRS_PER_BED_WEEK_MES*WEEKS*(1+DIM_PCT_MES)^U37</f>
        <v/>
      </c>
      <c r="W37" s="19">
        <f>MIN(V37,FARMER_FIELD_HRS)*FARMER_RATE+MAX(0,V37-FARMER_FIELD_HRS)*TEMP_RATE</f>
        <v/>
      </c>
      <c r="X37" s="19">
        <f>U37*FERTILIZER_PER_BED_MES</f>
        <v/>
      </c>
      <c r="Y37" s="19">
        <f>W37+X37</f>
        <v/>
      </c>
      <c r="Z37" s="19">
        <f>Y37-Y36</f>
        <v/>
      </c>
      <c r="AA37" s="19">
        <f>PRICE_PER_BED_MES</f>
        <v/>
      </c>
      <c r="AB37" s="22">
        <f>IF(Z37&lt;=PRICE_PER_BED_MES,1,0)</f>
        <v/>
      </c>
      <c r="AC37" s="22">
        <f>AC36*AB37</f>
        <v/>
      </c>
    </row>
    <row r="39">
      <c r="U39" s="3" t="inlineStr">
        <is>
          <t>Standalone P = MC point</t>
        </is>
      </c>
      <c r="Z39" s="23">
        <f>SUM(AC8:AC37)</f>
        <v/>
      </c>
    </row>
    <row r="40">
      <c r="U40" s="2" t="inlineStr">
        <is>
          <t>First crossing: the run of MC &lt;= P breaks here.</t>
        </is>
      </c>
    </row>
    <row r="41">
      <c r="U41" s="2" t="inlineStr">
        <is>
          <t>MC is not monotonic — a later q can fall back below price. The run column enforces "first", not "last".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22" customWidth="1" min="3" max="3"/>
    <col width="10" customWidth="1" min="4" max="4"/>
    <col width="54" customWidth="1" min="5" max="5"/>
  </cols>
  <sheetData>
    <row r="1">
      <c r="A1" s="1" t="inlineStr">
        <is>
          <t>Validation rules — Section 4</t>
        </is>
      </c>
    </row>
    <row r="2">
      <c r="A2" s="2" t="inlineStr">
        <is>
          <t>Run Solver first (Optimization sheet), then read this sheet.</t>
        </is>
      </c>
    </row>
    <row r="4">
      <c r="A4" s="4" t="inlineStr">
        <is>
          <t>Check</t>
        </is>
      </c>
      <c r="B4" s="4" t="inlineStr">
        <is>
          <t>Required</t>
        </is>
      </c>
      <c r="C4" s="4" t="inlineStr">
        <is>
          <t>Actual</t>
        </is>
      </c>
      <c r="D4" s="4" t="inlineStr">
        <is>
          <t>Status</t>
        </is>
      </c>
      <c r="E4" s="4" t="inlineStr">
        <is>
          <t>Note</t>
        </is>
      </c>
    </row>
    <row r="5">
      <c r="A5" s="7" t="inlineStr">
        <is>
          <t>Optimal mix — tomato beds</t>
        </is>
      </c>
      <c r="B5" s="16">
        <f>10</f>
        <v/>
      </c>
      <c r="C5" s="24">
        <f>BEDS_TOMATO</f>
        <v/>
      </c>
      <c r="D5" s="17">
        <f>IF(C5=B5,"PASS","FAIL")</f>
        <v/>
      </c>
      <c r="E5" s="2" t="inlineStr">
        <is>
          <t>Must match exactly</t>
        </is>
      </c>
    </row>
    <row r="6">
      <c r="A6" s="7" t="inlineStr">
        <is>
          <t>Optimal mix — carrot beds</t>
        </is>
      </c>
      <c r="B6" s="16">
        <f>20</f>
        <v/>
      </c>
      <c r="C6" s="24">
        <f>BEDS_CARROT</f>
        <v/>
      </c>
      <c r="D6" s="17">
        <f>IF(C6=B6,"PASS","FAIL")</f>
        <v/>
      </c>
      <c r="E6" s="2" t="inlineStr">
        <is>
          <t>Must match exactly</t>
        </is>
      </c>
    </row>
    <row r="7">
      <c r="A7" s="7" t="inlineStr">
        <is>
          <t>Optimal mix — mesclun beds</t>
        </is>
      </c>
      <c r="B7" s="16">
        <f>30</f>
        <v/>
      </c>
      <c r="C7" s="24">
        <f>BEDS_MESCLUN</f>
        <v/>
      </c>
      <c r="D7" s="17">
        <f>IF(C7=B7,"PASS","FAIL")</f>
        <v/>
      </c>
      <c r="E7" s="2" t="inlineStr">
        <is>
          <t>Must match exactly</t>
        </is>
      </c>
    </row>
    <row r="8">
      <c r="A8" s="7" t="inlineStr">
        <is>
          <t>Total beds planted</t>
        </is>
      </c>
      <c r="B8" s="16">
        <f>60</f>
        <v/>
      </c>
      <c r="C8" s="24">
        <f>BEDS_TOMATO+BEDS_CARROT+BEDS_MESCLUN</f>
        <v/>
      </c>
      <c r="D8" s="17">
        <f>IF(C8=B8,"PASS","FAIL")</f>
        <v/>
      </c>
      <c r="E8" s="2" t="inlineStr">
        <is>
          <t>60 of the 64 available</t>
        </is>
      </c>
    </row>
    <row r="9">
      <c r="A9" s="7" t="inlineStr">
        <is>
          <t>Season profit</t>
        </is>
      </c>
      <c r="B9" s="19">
        <f>42762</f>
        <v/>
      </c>
      <c r="C9" s="15">
        <f>SEASON_PROFIT</f>
        <v/>
      </c>
      <c r="D9" s="17">
        <f>IF(ABS(C9-B9)&lt;=5,"PASS","FAIL")</f>
        <v/>
      </c>
      <c r="E9" s="2" t="inlineStr">
        <is>
          <t>Passes within +/- $5</t>
        </is>
      </c>
    </row>
    <row r="10">
      <c r="A10" s="7" t="inlineStr">
        <is>
          <t>Standalone P = MC — tomatoes</t>
        </is>
      </c>
      <c r="B10" s="16">
        <f>10</f>
        <v/>
      </c>
      <c r="C10" s="24">
        <f>PMC_TOM</f>
        <v/>
      </c>
      <c r="D10" s="17">
        <f>IF(ABS(C10-B10)&lt;=1,"PASS","FAIL")</f>
        <v/>
      </c>
      <c r="E10" s="2" t="inlineStr">
        <is>
          <t>Passes within +/- 1 bed</t>
        </is>
      </c>
    </row>
    <row r="11">
      <c r="A11" s="7" t="inlineStr">
        <is>
          <t>Standalone P = MC — carrots</t>
        </is>
      </c>
      <c r="B11" s="16">
        <f>10</f>
        <v/>
      </c>
      <c r="C11" s="24">
        <f>PMC_CAR</f>
        <v/>
      </c>
      <c r="D11" s="17">
        <f>IF(ABS(C11-B11)&lt;=1,"PASS","FAIL")</f>
        <v/>
      </c>
      <c r="E11" s="2" t="inlineStr">
        <is>
          <t>Passes within +/- 1 bed</t>
        </is>
      </c>
    </row>
    <row r="12">
      <c r="A12" s="7" t="inlineStr">
        <is>
          <t>Standalone P = MC — mesclun</t>
        </is>
      </c>
      <c r="B12" s="16">
        <f>6</f>
        <v/>
      </c>
      <c r="C12" s="24">
        <f>PMC_MES</f>
        <v/>
      </c>
      <c r="D12" s="17">
        <f>IF(ABS(C12-B12)&lt;=1,"PASS","FAIL")</f>
        <v/>
      </c>
      <c r="E12" s="2" t="inlineStr">
        <is>
          <t>Passes within +/- 1 bed</t>
        </is>
      </c>
    </row>
    <row r="13">
      <c r="A13" s="7" t="inlineStr">
        <is>
          <t>Hand check — LABOR_HRS(1) tomatoes</t>
        </is>
      </c>
      <c r="B13" s="11">
        <f>99</f>
        <v/>
      </c>
      <c r="C13" s="18">
        <f>HAND_CHECK_Q1</f>
        <v/>
      </c>
      <c r="D13" s="17">
        <f>IF(ABS(C13-B13)&lt;=0.01,"PASS","FAIL")</f>
        <v/>
      </c>
      <c r="E13" s="2" t="inlineStr">
        <is>
          <t>1 x 2.50 x 36 x 1.10</t>
        </is>
      </c>
    </row>
    <row r="14">
      <c r="A14" s="7" t="inlineStr">
        <is>
          <t>Blended-rate allocation equals total labor cost</t>
        </is>
      </c>
      <c r="B14" s="19">
        <f>'Cost structure'!B18</f>
        <v/>
      </c>
      <c r="C14" s="15">
        <f>'Cost structure'!B26</f>
        <v/>
      </c>
      <c r="D14" s="17">
        <f>IF(ABS(C14-B14)&lt;=0.01,"PASS","FAIL")</f>
        <v/>
      </c>
      <c r="E14" s="2" t="inlineStr">
        <is>
          <t>Labor is never double counted</t>
        </is>
      </c>
    </row>
    <row r="15">
      <c r="A15" s="7" t="inlineStr">
        <is>
          <t>Temp workers required at most 4</t>
        </is>
      </c>
      <c r="B15" s="16">
        <f>MAX_TEMPS</f>
        <v/>
      </c>
      <c r="C15" s="24">
        <f>TEMPS_REQUIRED</f>
        <v/>
      </c>
      <c r="D15" s="17">
        <f>IF(C15&lt;=B15,"PASS","FAIL")</f>
        <v/>
      </c>
      <c r="E15" s="2" t="inlineStr">
        <is>
          <t>Headcount, rounded up</t>
        </is>
      </c>
    </row>
    <row r="16">
      <c r="A16" s="7" t="inlineStr">
        <is>
          <t>All constraint checks pass</t>
        </is>
      </c>
      <c r="B16" s="7">
        <f>"PASS"</f>
        <v/>
      </c>
      <c r="C16" s="25">
        <f>CONSTRAINTS_ALL</f>
        <v/>
      </c>
      <c r="D16" s="17">
        <f>IF(C16=B16,"PASS","FAIL")</f>
        <v/>
      </c>
      <c r="E16" s="2" t="inlineStr">
        <is>
          <t>Optimization sheet, D19</t>
        </is>
      </c>
    </row>
    <row r="18">
      <c r="A18" s="3" t="inlineStr">
        <is>
          <t>Structural rules — verified by inspection, not by formula</t>
        </is>
      </c>
    </row>
    <row r="19">
      <c r="A19" s="2" t="inlineStr">
        <is>
          <t>- No error cells anywhere in the workbook — no #REF!, #DIV/0!, #NAME?, #VALUE! or #N/A.</t>
        </is>
      </c>
    </row>
    <row r="20">
      <c r="A20" s="2" t="inlineStr">
        <is>
          <t>- Every calculated cell contains a formula referencing named ranges. No pasted values.</t>
        </is>
      </c>
    </row>
    <row r="21">
      <c r="A21" s="2" t="inlineStr">
        <is>
          <t>- Every input is a real named range carrying the unit stated on the Inputs sheet.</t>
        </is>
      </c>
    </row>
    <row r="22">
      <c r="A22" s="2" t="inlineStr">
        <is>
          <t>- Spot-check: click any cell on Cost structure or MC schedules and confirm the formula bar shows a formula.</t>
        </is>
      </c>
    </row>
    <row r="24">
      <c r="A24" s="3" t="inlineStr">
        <is>
          <t>Solver path-dependence — record both runs here during the audit</t>
        </is>
      </c>
    </row>
    <row r="25">
      <c r="A25" s="4" t="inlineStr">
        <is>
          <t>Starting point</t>
        </is>
      </c>
      <c r="B25" s="4" t="inlineStr">
        <is>
          <t>Tomatoes</t>
        </is>
      </c>
      <c r="C25" s="4" t="inlineStr">
        <is>
          <t>Carrots</t>
        </is>
      </c>
      <c r="D25" s="4" t="inlineStr">
        <is>
          <t>Mesclun</t>
        </is>
      </c>
      <c r="E25" s="4" t="inlineStr">
        <is>
          <t>Season profit</t>
        </is>
      </c>
    </row>
    <row r="26">
      <c r="A26" s="7" t="inlineStr">
        <is>
          <t>0 / 0 / 0</t>
        </is>
      </c>
      <c r="B26" s="26" t="n"/>
      <c r="C26" s="26" t="n"/>
      <c r="D26" s="26" t="n"/>
      <c r="E26" s="26" t="n"/>
    </row>
    <row r="27">
      <c r="A27" s="7" t="inlineStr">
        <is>
          <t>20 / 0 / 0</t>
        </is>
      </c>
      <c r="B27" s="26" t="n"/>
      <c r="C27" s="26" t="n"/>
      <c r="D27" s="26" t="n"/>
      <c r="E27" s="26" t="n"/>
    </row>
    <row r="29">
      <c r="A29" s="2" t="inlineStr">
        <is>
          <t>If the two runs disagree, that is a finding, not a nuisance. Record it in Section 6 of the spec.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2026-08-31T10:20:15Z</dcterms:created>
  <dcterms:modified xsi:type="dcterms:W3CDTF">2026-08-31T10:20:15Z</dcterms:modified>
</cp:coreProperties>
</file>